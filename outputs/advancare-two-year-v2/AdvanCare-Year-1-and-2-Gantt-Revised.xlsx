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mclein/Documents/Developer/Personal_Projects/AdvanCare/outputs/advancare-two-year-v2/"/>
    </mc:Choice>
  </mc:AlternateContent>
  <xr:revisionPtr revIDLastSave="0" documentId="13_ncr:1_{D8F555CB-A2FB-E240-B088-890B845FB405}" xr6:coauthVersionLast="47" xr6:coauthVersionMax="47" xr10:uidLastSave="{00000000-0000-0000-0000-000000000000}"/>
  <bookViews>
    <workbookView xWindow="0" yWindow="760" windowWidth="34200" windowHeight="21480" xr2:uid="{00000000-000D-0000-FFFF-FFFF00000000}"/>
  </bookViews>
  <sheets>
    <sheet name="24-month Gantt" sheetId="1" r:id="rId1"/>
    <sheet name="Schedule details" sheetId="2" r:id="rId2"/>
    <sheet name="Budget sour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3" l="1"/>
  <c r="J10" i="3"/>
  <c r="K9" i="3"/>
  <c r="K11" i="3" s="1"/>
  <c r="K12" i="3" s="1"/>
  <c r="J9" i="3"/>
  <c r="J11" i="3" s="1"/>
  <c r="J12" i="3" s="1"/>
  <c r="K8" i="3"/>
  <c r="K13" i="3" s="1"/>
  <c r="J8" i="3"/>
  <c r="J13" i="3" s="1"/>
  <c r="K7" i="3"/>
  <c r="J7" i="3"/>
  <c r="K6" i="3"/>
  <c r="J6" i="3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</calcChain>
</file>

<file path=xl/sharedStrings.xml><?xml version="1.0" encoding="utf-8"?>
<sst xmlns="http://schemas.openxmlformats.org/spreadsheetml/2006/main" count="489" uniqueCount="364">
  <si>
    <t>advanCARE — Year 1 &amp; Year 2 Gantt chart (revised budget)</t>
  </si>
  <si>
    <t>Proposed 24-month schedule. M1 = project start; dates pending. Revised equipment and SMS scope included.</t>
  </si>
  <si>
    <t>Colored bars = activity window. ◆ = milestone. Amber section = proposed Months 19–24.</t>
  </si>
  <si>
    <t>Budget totals need reconciliation; see Budget source.</t>
  </si>
  <si>
    <t>YEAR 1</t>
  </si>
  <si>
    <t>YEAR 2</t>
  </si>
  <si>
    <t>ID</t>
  </si>
  <si>
    <t>Activity / milestone</t>
  </si>
  <si>
    <t>Start</t>
  </si>
  <si>
    <t>End</t>
  </si>
  <si>
    <t>Months</t>
  </si>
  <si>
    <t>FOUNDATION &amp; VALIDATION</t>
  </si>
  <si>
    <t>01</t>
  </si>
  <si>
    <t>Mobilize project team and governance</t>
  </si>
  <si>
    <t>02</t>
  </si>
  <si>
    <t>LGU / barangay MOUs and cost sharing</t>
  </si>
  <si>
    <t>03</t>
  </si>
  <si>
    <t>Baseline survey and household digitization</t>
  </si>
  <si>
    <t>04</t>
  </si>
  <si>
    <t>Privacy, clinical protocols and referral partners</t>
  </si>
  <si>
    <t>05</t>
  </si>
  <si>
    <t>Procure equipment and connectivity</t>
  </si>
  <si>
    <t>06</t>
  </si>
  <si>
    <t>Complete pilot platform and verify real-use readiness</t>
  </si>
  <si>
    <t>07</t>
  </si>
  <si>
    <t>Recruit, screen and train first caregiver cohort</t>
  </si>
  <si>
    <t>08</t>
  </si>
  <si>
    <t>GATE: pilot readiness</t>
  </si>
  <si>
    <t>CORE CARE PILOT</t>
  </si>
  <si>
    <t>09</t>
  </si>
  <si>
    <t>Enroll households and assist first bookings</t>
  </si>
  <si>
    <t>10</t>
  </si>
  <si>
    <t>Deliver home care and post-discharge follow-up</t>
  </si>
  <si>
    <t>11</t>
  </si>
  <si>
    <t>Activate telehealth equipment in pilot sites</t>
  </si>
  <si>
    <t>12</t>
  </si>
  <si>
    <t>Review SLA, repeat use and caregiver continuity</t>
  </si>
  <si>
    <t>13</t>
  </si>
  <si>
    <t>GATE: approve municipal expansion</t>
  </si>
  <si>
    <t>MUNICIPAL EXPANSION</t>
  </si>
  <si>
    <t>14</t>
  </si>
  <si>
    <t>Expand to 8–12 barangays in pilot municipality</t>
  </si>
  <si>
    <t>15</t>
  </si>
  <si>
    <t>Introduce pooled NEMT and referral coordination</t>
  </si>
  <si>
    <t>16</t>
  </si>
  <si>
    <t>Add respite packages, family updates and Rx routing</t>
  </si>
  <si>
    <t>17</t>
  </si>
  <si>
    <t>Complete tier registry and LGU reconciliation</t>
  </si>
  <si>
    <t>18</t>
  </si>
  <si>
    <t>Add SMS, local languages and assisted access</t>
  </si>
  <si>
    <t>19</t>
  </si>
  <si>
    <t>GATE: confirm municipal results</t>
  </si>
  <si>
    <t>PROVINCIAL EXPANSION</t>
  </si>
  <si>
    <t>20</t>
  </si>
  <si>
    <t>Stage expansion into additional municipalities</t>
  </si>
  <si>
    <t>21</t>
  </si>
  <si>
    <t>Formalize CVMC / institutional care contracts</t>
  </si>
  <si>
    <t>22</t>
  </si>
  <si>
    <t>Scale caregiver cohorts and train local trainers</t>
  </si>
  <si>
    <t>23</t>
  </si>
  <si>
    <t>Add elder knowledge-transfer wellness sessions</t>
  </si>
  <si>
    <t>24</t>
  </si>
  <si>
    <t>Introduce supervised workflow automation</t>
  </si>
  <si>
    <t>25</t>
  </si>
  <si>
    <t>Scale cloud hosting and performance monitoring</t>
  </si>
  <si>
    <t>26</t>
  </si>
  <si>
    <t>GATE: review provincial expansion</t>
  </si>
  <si>
    <t>CONSOLIDATION &amp; SUSTAINABILITY</t>
  </si>
  <si>
    <t>27</t>
  </si>
  <si>
    <t>Optimize tier mix and rural cross-subsidy</t>
  </si>
  <si>
    <t>28</t>
  </si>
  <si>
    <t>Renew LGU / institutional agreements</t>
  </si>
  <si>
    <t>29</t>
  </si>
  <si>
    <t>Evaluate endline outcomes and affordability</t>
  </si>
  <si>
    <t>30</t>
  </si>
  <si>
    <t>Prepare continuation plan and final reporting</t>
  </si>
  <si>
    <t>31</t>
  </si>
  <si>
    <t>GATE: approve continuation beyond Year 2</t>
  </si>
  <si>
    <t>CONTINUOUS PROJECT SUPPORT</t>
  </si>
  <si>
    <t>32</t>
  </si>
  <si>
    <t>Personnel, supervision and operating support</t>
  </si>
  <si>
    <t>33</t>
  </si>
  <si>
    <t>Quality, safeguarding and caregiver re-screening</t>
  </si>
  <si>
    <t>34</t>
  </si>
  <si>
    <t>Quarterly LGU billing and financial review</t>
  </si>
  <si>
    <t>ADDED EQUIPMENT &amp; COMMUNICATIONS</t>
  </si>
  <si>
    <t>35</t>
  </si>
  <si>
    <t>Commission PBX phones and support desk</t>
  </si>
  <si>
    <t>36</t>
  </si>
  <si>
    <t>Install servers, rack, network and storage</t>
  </si>
  <si>
    <t>37</t>
  </si>
  <si>
    <t>Deploy generators and resilient site connectivity</t>
  </si>
  <si>
    <t>38</t>
  </si>
  <si>
    <t>Test backup power, failover and support procedures</t>
  </si>
  <si>
    <t>39</t>
  </si>
  <si>
    <t>Operate SMS, connectivity and infrastructure upkeep</t>
  </si>
  <si>
    <t>40</t>
  </si>
  <si>
    <t>Telehealth suitcase training — Year 1</t>
  </si>
  <si>
    <t>Schedule basis and activity details</t>
  </si>
  <si>
    <t>Schedule status</t>
  </si>
  <si>
    <t>Proposed planning baseline, prepared 17 October 2026. Dates and owners are not yet approved.</t>
  </si>
  <si>
    <t>Time basis</t>
  </si>
  <si>
    <t>Year 1 = M1–M12; Year 2 = M13–M24. All activity windows include both start and end months.</t>
  </si>
  <si>
    <t>Source timing</t>
  </si>
  <si>
    <t>Phase 0 weeks 1–6 mapped to M1–M2. Phase 1 M2–M4; Phase 2 M5–M9; Phase 3 M10–M18 follow the vault.</t>
  </si>
  <si>
    <t>Assumed timing</t>
  </si>
  <si>
    <t>Within-phase task dates, equipment commissioning and all M19–M24 dates are proposed. The expense workbook specifies years, not monthly timing.</t>
  </si>
  <si>
    <t>Existing implementation</t>
  </si>
  <si>
    <t>App, API, staff console and care-loop prototype already exist as of 16 October. M1–M2 covers completion and validation for real use.</t>
  </si>
  <si>
    <t>Source priority</t>
  </si>
  <si>
    <t>Current .brain and implementation supersede older handoff snapshots. Research informs scope, not confirmed delivery dates.</t>
  </si>
  <si>
    <t>Budget interpretation</t>
  </si>
  <si>
    <t>Annual amounts support workstreams. No monthly cost allocation or grant disbursement schedule is inferred. Blank Year 2 costs remain blank.</t>
  </si>
  <si>
    <t>Survey scope</t>
  </si>
  <si>
    <t>Budget funds 16 enumerators/digitizers across four LGUs once in Year 1. Service rollout starts with one LGU; survey geography requires confirmation.</t>
  </si>
  <si>
    <t>Equipment discrepancy</t>
  </si>
  <si>
    <t>Budget row 44 says Twenty (25) kits; row 42 says Two (3) printers. Amounts imply 25 kits and 3 printers. Confirm quantities.</t>
  </si>
  <si>
    <t>Funding gaps</t>
  </si>
  <si>
    <t>Year 2 has no new enumerator line or explicit domain / office-supply renewal. Confirm internet provision covers Starlink service.</t>
  </si>
  <si>
    <t>Budget reconciliation</t>
  </si>
  <si>
    <t>Listed expenses exceed the stated Year 1 total by PHP 38,000; Year 2 detail is PHP 780,000 below the stated total. Figures are preserved.</t>
  </si>
  <si>
    <t>Dependencies</t>
  </si>
  <si>
    <t>IDs describe prerequisites or coordination links. Same-month work needs within-month sequencing. Gates require evidence before expansion.</t>
  </si>
  <si>
    <t>Editing</t>
  </si>
  <si>
    <t>Edit amber Start/End month cells on the Gantt (1–24). Duration, bars and milestone position update. Dependencies do not auto-reschedule.</t>
  </si>
  <si>
    <t>Review cadence</t>
  </si>
  <si>
    <t>Weekly pilot reviews and quarterly quality / finance reviews are continuous work windows, not separate monthly spending commitments.</t>
  </si>
  <si>
    <t>Activity</t>
  </si>
  <si>
    <t>Expected output / gate</t>
  </si>
  <si>
    <t>Source / timing basis</t>
  </si>
  <si>
    <t>Budget alignment</t>
  </si>
  <si>
    <t>Gantt row</t>
  </si>
  <si>
    <t>—</t>
  </si>
  <si>
    <t>Project leader, laborers, staff and monitoring roles assigned</t>
  </si>
  <si>
    <t>Budget rows 5–17; Implementation Plan §3</t>
  </si>
  <si>
    <t>Personnel, both years</t>
  </si>
  <si>
    <t>One municipality and 2–3 barangays; signed 50/50 funding mechanism</t>
  </si>
  <si>
    <t>Implementation Plan §3 Phase 0; ADR-001</t>
  </si>
  <si>
    <t>Project staff and consulting</t>
  </si>
  <si>
    <t>01,02 (site access)</t>
  </si>
  <si>
    <t>Baseline access, cost and care gaps; four-LGU survey scope to confirm</t>
  </si>
  <si>
    <t>Implementation Plan §3 Phase 0; Budget row 13</t>
  </si>
  <si>
    <t>Enumerators / digitizers, Year 1 only</t>
  </si>
  <si>
    <t>Consent review, escalation protocol, RHU/CVMC coordination and hotline</t>
  </si>
  <si>
    <t>TODO: non-code dependencies; Implementation Plan §3</t>
  </si>
  <si>
    <t>Consulting and staff</t>
  </si>
  <si>
    <t>Computers, scanner/printers, telehealth kits and Starlink commissioned</t>
  </si>
  <si>
    <t>Budget rows 39–51</t>
  </si>
  <si>
    <t>Equipment under MOOE, Year 1 only</t>
  </si>
  <si>
    <t>01,04</t>
  </si>
  <si>
    <t>Validate existing care loop; separate demo data, secure storage and owned AI key</t>
  </si>
  <si>
    <t>TODO P1–P4; ARCHITECTURE §§3–6; actual frontend/backend</t>
  </si>
  <si>
    <t>Laborers, AI, hosting and internet subscriptions</t>
  </si>
  <si>
    <t>15–20 screened caregivers, 40-hour training and skill badges</t>
  </si>
  <si>
    <t>Implementation Plan Phase 0; Service Catalog §4</t>
  </si>
  <si>
    <t>Training, transport and utilities</t>
  </si>
  <si>
    <t>02,03,04,06,07</t>
  </si>
  <si>
    <t>30–50 households; 15–20 caregivers; signed cost sharing and ready care loop</t>
  </si>
  <si>
    <t>Implementation Plan Phase 0 exit</t>
  </si>
  <si>
    <t>Milestone</t>
  </si>
  <si>
    <t>BHW-led multilingual onboarding and published tier / service prices</t>
  </si>
  <si>
    <t>Implementation Plan Phase 1 and §4</t>
  </si>
  <si>
    <t>Staff, transport and utilities</t>
  </si>
  <si>
    <t>Personal care, basic nursing support and respite; one formal follow-up</t>
  </si>
  <si>
    <t>Implementation Plan Phase 1</t>
  </si>
  <si>
    <t>Staff and operating support</t>
  </si>
  <si>
    <t>04,05,08</t>
  </si>
  <si>
    <t>Test clinician connectivity, operator training and escalation workflow</t>
  </si>
  <si>
    <t>Budget telehealth / Starlink; Mobile App Specification</t>
  </si>
  <si>
    <t>Year 1 equipment and training</t>
  </si>
  <si>
    <t>Weekly operations review with family feedback and corrective actions</t>
  </si>
  <si>
    <t>Monitoring staff</t>
  </si>
  <si>
    <t>09,10,11,12</t>
  </si>
  <si>
    <t>&gt;60% SLA; &gt;40% repeat use in 60 days; &gt;70% caregiver retention</t>
  </si>
  <si>
    <t>Implementation Plan Phase 1 exit</t>
  </si>
  <si>
    <t>Denser caregiver coverage and BHW enrollment network</t>
  </si>
  <si>
    <t>Implementation Plan Phase 2</t>
  </si>
  <si>
    <t>Staff, training, transport and utilities</t>
  </si>
  <si>
    <t>13,04</t>
  </si>
  <si>
    <t>Shared transport routes and BHW / tele-nurse routing process</t>
  </si>
  <si>
    <t>Implementation Plan Phase 2; Centene research</t>
  </si>
  <si>
    <t>Transport and staff</t>
  </si>
  <si>
    <t>Long-distance family support and verified pharmacy / Yakap pathways</t>
  </si>
  <si>
    <t>Implementation Plan Phase 2; Homage and Auxilio research</t>
  </si>
  <si>
    <t>Staff, AI and hosting</t>
  </si>
  <si>
    <t>02,06</t>
  </si>
  <si>
    <t>Server-side memberships; subsidy report and quarterly billing evidence</t>
  </si>
  <si>
    <t>TODO P4; Reporting Specifications Table 4</t>
  </si>
  <si>
    <t>Laborers and staff</t>
  </si>
  <si>
    <t>13,06</t>
  </si>
  <si>
    <t>Test low-bandwidth fallbacks and Tagalog / Ilocano / Ybanag support</t>
  </si>
  <si>
    <t>TODO Later; Implementation Plan §§4,6</t>
  </si>
  <si>
    <t>Laborers, internet and bulk SMS (row 35)</t>
  </si>
  <si>
    <t>14,15,16,17,18</t>
  </si>
  <si>
    <t>300–500 active members; lower transport cost; &gt;70% discharge follow-through</t>
  </si>
  <si>
    <t>Implementation Plan Phase 2 exit</t>
  </si>
  <si>
    <t>New LGU agreements and rollout waves as capacity and demand permit</t>
  </si>
  <si>
    <t>Implementation Plan Phase 3</t>
  </si>
  <si>
    <t>Staff and Year 2 field expenses</t>
  </si>
  <si>
    <t>19,04</t>
  </si>
  <si>
    <t>Badged hospital watchers and institutional revenue to support rural care</t>
  </si>
  <si>
    <t>Implementation Plan Phase 3; Service Catalog §2</t>
  </si>
  <si>
    <t>Staff and consulting</t>
  </si>
  <si>
    <t>19,07</t>
  </si>
  <si>
    <t>Repeat screening, continuity incentives and trainer pipeline</t>
  </si>
  <si>
    <t>Implementation Plan §§3,6; Honor research</t>
  </si>
  <si>
    <t>Intergenerational sessions integrated into wellness visits</t>
  </si>
  <si>
    <t>Staff and field expenses</t>
  </si>
  <si>
    <t>19,06</t>
  </si>
  <si>
    <t>Async matching notifications, care summaries and reporting with oversight</t>
  </si>
  <si>
    <t>Agentic Architecture; ADR-006; TODO Later</t>
  </si>
  <si>
    <t>Laborers, AI and hosting</t>
  </si>
  <si>
    <t>20 (rollout demand)</t>
  </si>
  <si>
    <t>Stage 2 capacity, backup/recovery checks and service monitoring</t>
  </si>
  <si>
    <t>Budget row 32: Stage 2 Year 2; ARCHITECTURE</t>
  </si>
  <si>
    <t>Year 2 hosting: PHP 1,500,000</t>
  </si>
  <si>
    <t>20,21,22,23,24</t>
  </si>
  <si>
    <t>Review coverage, SLA, caregiver retention and unit economics before growth</t>
  </si>
  <si>
    <t>Phase 3 ends M18; review gate proposed</t>
  </si>
  <si>
    <t>Use actual continuity and margins to tune tier uptake and service mix</t>
  </si>
  <si>
    <t>Implementation Plan §§3,5; proposed M19–24</t>
  </si>
  <si>
    <t>Evidence-backed renewals and household payment fallbacks</t>
  </si>
  <si>
    <t>Implementation Plan §§5,7; proposed M19–24</t>
  </si>
  <si>
    <t>26,03</t>
  </si>
  <si>
    <t>Compare access, follow-through, costs and attended episodes with baseline</t>
  </si>
  <si>
    <t>Implementation Plan §8; proposed M22–24</t>
  </si>
  <si>
    <t>Monitoring staff; new enumerator funding unitemized</t>
  </si>
  <si>
    <t>26,27,28,29 (results)</t>
  </si>
  <si>
    <t>Continuation operating plan, final financial report and research outputs</t>
  </si>
  <si>
    <t>Implementation Plan §§5,8; proposed M23–24</t>
  </si>
  <si>
    <t>Staff, consulting and SPSS</t>
  </si>
  <si>
    <t>27,28,29,30</t>
  </si>
  <si>
    <t>Review renewals and &gt;80% earned-revenue target; approve next period</t>
  </si>
  <si>
    <t>Implementation Plan §5 target; M24 gate proposed</t>
  </si>
  <si>
    <t>Continuous staffing, AI subscriptions, internet subscriptions and cloud operations</t>
  </si>
  <si>
    <t>Budget: recurring personnel and MOOE in both years</t>
  </si>
  <si>
    <t>PHP 2,974,560 / 2,734,560 personnel</t>
  </si>
  <si>
    <t>Routine case review, quarterly re-screening and clinical escalation</t>
  </si>
  <si>
    <t>Implementation Plan §6; Service Catalog</t>
  </si>
  <si>
    <t>Monitoring staff and consulting</t>
  </si>
  <si>
    <t>02,17 (full report from M6)</t>
  </si>
  <si>
    <t>Quarter-end billing; seasonality, collections, payouts and margin review</t>
  </si>
  <si>
    <t>Implementation Plan §§3,5; Reporting Table 4</t>
  </si>
  <si>
    <t>Staff and monitoring</t>
  </si>
  <si>
    <t>01,05</t>
  </si>
  <si>
    <t>PBX premium system and four extensions tested; contact routing agreed</t>
  </si>
  <si>
    <t>Budget rows 52,59; proposed M2–M3</t>
  </si>
  <si>
    <t>Year 1 PBX equipment</t>
  </si>
  <si>
    <t>Rack, switch, two servers, SSDs and monitoring screens installed; role approved</t>
  </si>
  <si>
    <t>Budget rows 53–57; proposed M2–M3</t>
  </si>
  <si>
    <t>Year 1 equipment; cloud hosting retained</t>
  </si>
  <si>
    <t>Ten generators and Starlink units commissioned with site safety checks</t>
  </si>
  <si>
    <t>Budget rows 43,45,58; proposed M2–M3</t>
  </si>
  <si>
    <t>Equipment, internet and utilities</t>
  </si>
  <si>
    <t>35,36,37</t>
  </si>
  <si>
    <t>Document power/network recovery tests, backup restoration and staff handover</t>
  </si>
  <si>
    <t>Budget rows 52–59; proposed M3–M4</t>
  </si>
  <si>
    <t>Training and project laborers</t>
  </si>
  <si>
    <t>18 (SMS launch by M9),38</t>
  </si>
  <si>
    <t>SMS live at rollout; connectivity, power and equipment reviewed routinely</t>
  </si>
  <si>
    <t>Budget rows 25,27,32,35; proposed M5–M24</t>
  </si>
  <si>
    <t>Bulk SMS PHP 12,000 per year; internet and utilities</t>
  </si>
  <si>
    <t>05,11 (equipment available)</t>
  </si>
  <si>
    <t>Train telehealth suitcase operators after the first three months; cover setup, use and troubleshooting.</t>
  </si>
  <si>
    <t>User request: after 3 months in Year 1; one-month duration assumed.</t>
  </si>
  <si>
    <t>Existing training expense, Year 1 (budget row 28); no added cost assumed.</t>
  </si>
  <si>
    <t>Infrastructure scope</t>
  </si>
  <si>
    <t>On-premises equipment is budgeted, but its system role is not approved. Commissioning does not assume migration from the existing cloud platform.</t>
  </si>
  <si>
    <t>Source register</t>
  </si>
  <si>
    <t>Location</t>
  </si>
  <si>
    <t>Rollout phases</t>
  </si>
  <si>
    <t>/Users/mclein/Documents/Developer/Personal_Projects/AdvanCare/AdvanCare/Implementation Plan.md</t>
  </si>
  <si>
    <t>Current project context</t>
  </si>
  <si>
    <t>/Users/mclein/Documents/Developer/Personal_Projects/AdvanCare/.brain/PROJECT_CONTEXT.md</t>
  </si>
  <si>
    <t>Current work and dependencies</t>
  </si>
  <si>
    <t>/Users/mclein/Documents/Developer/Personal_Projects/AdvanCare/.brain/TODO.md</t>
  </si>
  <si>
    <t>Current implementation</t>
  </si>
  <si>
    <t>/Users/mclein/Documents/Developer/Personal_Projects/AdvanCare/.brain/ARCHITECTURE.md</t>
  </si>
  <si>
    <t>Approved decisions</t>
  </si>
  <si>
    <t>/Users/mclein/Documents/Developer/Personal_Projects/AdvanCare/.brain/DECISIONS.md</t>
  </si>
  <si>
    <t>Service scope and training</t>
  </si>
  <si>
    <t>/Users/mclein/Documents/Developer/Personal_Projects/AdvanCare/AdvanCare/Product/Service Catalog &amp; Caregiver Operations.md</t>
  </si>
  <si>
    <t>Reporting scope</t>
  </si>
  <si>
    <t>/Users/mclein/Documents/Developer/Personal_Projects/AdvanCare/AdvanCare/Product/Reporting Engine &amp; Dashboard Specifications.md</t>
  </si>
  <si>
    <t>Automation roadmap</t>
  </si>
  <si>
    <t>/Users/mclein/Documents/Developer/Personal_Projects/AdvanCare/AdvanCare/Architecture/Agentic AI &amp; n8n Workflow Architecture.md</t>
  </si>
  <si>
    <t>Research synthesis</t>
  </si>
  <si>
    <t>/Users/mclein/Documents/Developer/Personal_Projects/AdvanCare/AdvanCare/Research/Comparative Benchmark Matrix.md</t>
  </si>
  <si>
    <t>Revised budget</t>
  </si>
  <si>
    <t>/Users/mclein/Downloads/AdvanCore-Expenses-2.xlsx</t>
  </si>
  <si>
    <t>Revised expense workbook — source values and reconciliation</t>
  </si>
  <si>
    <t>Source: AdvanCore-Expenses-2.xlsx, Sheet1!A1:G62. Original labels and figures preserved below.</t>
  </si>
  <si>
    <t>Year 1</t>
  </si>
  <si>
    <t>Year  2</t>
  </si>
  <si>
    <t>Reconciliation (PHP)</t>
  </si>
  <si>
    <t>Year 2</t>
  </si>
  <si>
    <t>I.</t>
  </si>
  <si>
    <t>Personal Services</t>
  </si>
  <si>
    <t>P</t>
  </si>
  <si>
    <t>Personnel per source</t>
  </si>
  <si>
    <t>Direct Cost</t>
  </si>
  <si>
    <t>MOOE per source</t>
  </si>
  <si>
    <t>Salaries</t>
  </si>
  <si>
    <t>Grand total per source</t>
  </si>
  <si>
    <t>Five (5) Porject Laborer 1 @ Php 21,816 x 12 mos</t>
  </si>
  <si>
    <t>Personnel detail</t>
  </si>
  <si>
    <t>Honoraria</t>
  </si>
  <si>
    <t>MOOE detail</t>
  </si>
  <si>
    <t>One (1) Project Leader @ Php 8,800 x 12 mos</t>
  </si>
  <si>
    <t>Grand total from detail</t>
  </si>
  <si>
    <t>Six (6) Project Staff Level 3 @ Php 7,500 x 12 mos</t>
  </si>
  <si>
    <t>Detail less source total</t>
  </si>
  <si>
    <t>Six (6) Consulting Fee @ Php 10000 x 4</t>
  </si>
  <si>
    <t>Unexplained source balance</t>
  </si>
  <si>
    <t>Indirect Cost</t>
  </si>
  <si>
    <t>(Implement Agency)</t>
  </si>
  <si>
    <t>Year 1 detail includes the PHP 38,000 PBX extension line. The source subtotal is lower by PHP 38,000. Year 2 source exceeds listed detail by PHP 780,000. No balancing expense invented.</t>
  </si>
  <si>
    <t>Sixteen (16) Enumerators and Digitizers (4 enums, 4 LGUs) @ Php 15000/mos</t>
  </si>
  <si>
    <t>Quantities to confirm: “Two (3)” printers and “Twenty (25)” telehealth kits. SPSS says two years but carries PHP 10,000 in each year.</t>
  </si>
  <si>
    <t>(Monitoring Agency)</t>
  </si>
  <si>
    <t>Three (3) Project Staff Level 2 @ Php 15,000 x 12 mos</t>
  </si>
  <si>
    <t>Sub-total for PS</t>
  </si>
  <si>
    <t>II.</t>
  </si>
  <si>
    <t>Maintenance and Other Operating Expenses</t>
  </si>
  <si>
    <t>Communication Expenses</t>
  </si>
  <si>
    <t>Transport Expenses</t>
  </si>
  <si>
    <t>Internet Subscription Expenses</t>
  </si>
  <si>
    <t>Utility Expense</t>
  </si>
  <si>
    <t>Water, Electricity, and Cooking Fuel Expenses</t>
  </si>
  <si>
    <t>Traning Expenses</t>
  </si>
  <si>
    <t>Subscription Expenses</t>
  </si>
  <si>
    <t>Website Domain (1 year)</t>
  </si>
  <si>
    <t>Ink, Bondapaper (12 mons)</t>
  </si>
  <si>
    <t>Cloud Hosting for Database (1 year, Stage 1: Production Scale)</t>
  </si>
  <si>
    <t>Stage 2: High Volume Scale</t>
  </si>
  <si>
    <t>Apple Developer Fee</t>
  </si>
  <si>
    <t>SPSS: Statistical Tool Software (2 years)</t>
  </si>
  <si>
    <t>Bulk SMS (1 year)</t>
  </si>
  <si>
    <t>(Implementing Agency)</t>
  </si>
  <si>
    <t>Supplies and Materials Expenses</t>
  </si>
  <si>
    <t>Two (2) MacBook M5 @ Php 110,000</t>
  </si>
  <si>
    <t>Two (2) Lenovo V15   @Php 78,332</t>
  </si>
  <si>
    <t>One (1)Epson WorkForce ES-50 Scanner @ Php 7,050</t>
  </si>
  <si>
    <t>Two (3) Epson Ecotank L5290 Printer @ Php 13,495</t>
  </si>
  <si>
    <t>Three (3)  UPS for Wifi Router (10400mAh) @ Php 7,000</t>
  </si>
  <si>
    <t>Twenty (25) Telehealth Suitcase @ Php 360,000</t>
  </si>
  <si>
    <t>Ten (10) Starlink @ Php 56,000</t>
  </si>
  <si>
    <t>Four (4) Desktop @ Php 55,000</t>
  </si>
  <si>
    <t>Four (4) Headset @ Php 5,000</t>
  </si>
  <si>
    <t>Four (4) Monitor @ Php 6,000</t>
  </si>
  <si>
    <t>Four  (4) Keyboard @ 1,500</t>
  </si>
  <si>
    <t>Four (4) Mouse @ Php 1,000</t>
  </si>
  <si>
    <t>Four (4) Chair @ Php 6,500</t>
  </si>
  <si>
    <t>One (1) IP Phone PBX Premium Package</t>
  </si>
  <si>
    <t>One (1) Equipment Rack (Orbita Digital RACK-27U-D)</t>
  </si>
  <si>
    <t>One (1) Failover Switch (24-port)</t>
  </si>
  <si>
    <t>Two (2) Server (Dell Poweredge R250)@ Php 125,000</t>
  </si>
  <si>
    <t>Two (2) Storage (480GB Enterprise SATA SSD) @ Php 4,500</t>
  </si>
  <si>
    <t>Two (2) Widescreen Monitor @ Php 80,000</t>
  </si>
  <si>
    <t>Ten (10) Diesel Generator Set @ Php 45,000</t>
  </si>
  <si>
    <t>Four  (4) IP Phone PBX Extension @ Php 9,500</t>
  </si>
  <si>
    <t>Sub-Total for MOOE</t>
  </si>
  <si>
    <t>GRAND TOTAL</t>
  </si>
  <si>
    <t>Telehealth suitcase training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</si>
</sst>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M&quot;0"/>
    <numFmt numFmtId="165" formatCode=";;;"/>
    <numFmt numFmtId="166" formatCode="&quot;PHP &quot;#,##0"/>
    <numFmt numFmtId="167" formatCode="#,##0;[Red]\(#,##0\);&quot;—&quot;"/>
  </numFmts>
  <fonts count="11">
    <font>
      <sz val="11"/>
      <name val="Carlito"/>
    </font>
    <font>
      <sz val="10"/>
      <color rgb="FF203047"/>
      <name val="Arial"/>
    </font>
    <font>
      <b/>
      <sz val="16"/>
      <color rgb="FF203047"/>
      <name val="Arial"/>
    </font>
    <font>
      <b/>
      <sz val="10"/>
      <color rgb="FFFFFFFF"/>
      <name val="Arial"/>
    </font>
    <font>
      <b/>
      <sz val="10"/>
      <color rgb="FF203047"/>
      <name val="Arial"/>
    </font>
    <font>
      <sz val="10"/>
      <color rgb="FF865510"/>
      <name val="Arial"/>
    </font>
    <font>
      <b/>
      <sz val="10"/>
      <color rgb="FF19384B"/>
      <name val="Arial"/>
    </font>
    <font>
      <b/>
      <sz val="10"/>
      <color rgb="FFA34E15"/>
      <name val="Arial"/>
    </font>
    <font>
      <sz val="10"/>
      <name val="Arial"/>
    </font>
    <font>
      <b/>
      <sz val="16"/>
      <name val="Arial"/>
    </font>
    <font>
      <sz val="10"/>
      <color rgb="FF203047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9384B"/>
      </patternFill>
    </fill>
    <fill>
      <patternFill patternType="solid">
        <fgColor rgb="FF4169A1"/>
      </patternFill>
    </fill>
    <fill>
      <patternFill patternType="solid">
        <fgColor rgb="FFFFF2CC"/>
      </patternFill>
    </fill>
    <fill>
      <patternFill patternType="solid">
        <fgColor rgb="FF248B81"/>
      </patternFill>
    </fill>
    <fill>
      <patternFill patternType="solid">
        <fgColor rgb="FF527CB7"/>
      </patternFill>
    </fill>
    <fill>
      <patternFill patternType="solid">
        <fgColor rgb="FF8565A8"/>
      </patternFill>
    </fill>
    <fill>
      <patternFill patternType="solid">
        <fgColor rgb="FFB77E38"/>
      </patternFill>
    </fill>
    <fill>
      <patternFill patternType="solid">
        <fgColor rgb="FF64748B"/>
      </patternFill>
    </fill>
    <fill>
      <patternFill patternType="solid">
        <fgColor rgb="FF3E737E"/>
      </patternFill>
    </fill>
    <fill>
      <patternFill patternType="solid">
        <fgColor rgb="FFFFF2CC"/>
      </patternFill>
    </fill>
    <fill>
      <patternFill patternType="solid">
        <fgColor rgb="FF19384B"/>
      </patternFill>
    </fill>
    <fill>
      <patternFill patternType="solid">
        <fgColor rgb="FF3E737E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FFFFFF"/>
      </bottom>
      <diagonal/>
    </border>
    <border>
      <left style="medium">
        <color rgb="FF19384B"/>
      </left>
      <right/>
      <top/>
      <bottom/>
      <diagonal/>
    </border>
    <border>
      <left style="medium">
        <color rgb="FF19384B"/>
      </left>
      <right/>
      <top/>
      <bottom style="thin">
        <color rgb="FFFFFFF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4" fillId="0" borderId="0" xfId="0" applyFont="1"/>
    <xf numFmtId="0" fontId="1" fillId="0" borderId="0" xfId="0" applyFont="1" applyAlignment="1">
      <alignment wrapText="1"/>
    </xf>
    <xf numFmtId="0" fontId="3" fillId="3" borderId="0" xfId="0" applyFont="1" applyFill="1"/>
    <xf numFmtId="0" fontId="5" fillId="4" borderId="0" xfId="0" applyFont="1" applyFill="1"/>
    <xf numFmtId="1" fontId="5" fillId="4" borderId="0" xfId="0" applyNumberFormat="1" applyFont="1" applyFill="1"/>
    <xf numFmtId="1" fontId="1" fillId="0" borderId="0" xfId="0" applyNumberFormat="1" applyFont="1"/>
    <xf numFmtId="165" fontId="1" fillId="0" borderId="1" xfId="0" applyNumberFormat="1" applyFont="1" applyBorder="1" applyAlignment="1">
      <alignment horizontal="center"/>
    </xf>
    <xf numFmtId="0" fontId="6" fillId="0" borderId="0" xfId="0" applyFont="1"/>
    <xf numFmtId="1" fontId="6" fillId="4" borderId="0" xfId="0" applyNumberFormat="1" applyFont="1" applyFill="1"/>
    <xf numFmtId="1" fontId="6" fillId="0" borderId="0" xfId="0" applyNumberFormat="1" applyFont="1"/>
    <xf numFmtId="0" fontId="6" fillId="0" borderId="1" xfId="0" applyFont="1" applyBorder="1" applyAlignment="1">
      <alignment horizontal="center"/>
    </xf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164" fontId="3" fillId="2" borderId="2" xfId="0" applyNumberFormat="1" applyFont="1" applyFill="1" applyBorder="1" applyAlignment="1">
      <alignment horizontal="center"/>
    </xf>
    <xf numFmtId="0" fontId="3" fillId="3" borderId="2" xfId="0" applyFont="1" applyFill="1" applyBorder="1"/>
    <xf numFmtId="165" fontId="1" fillId="0" borderId="3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" fillId="5" borderId="2" xfId="0" applyFont="1" applyFill="1" applyBorder="1"/>
    <xf numFmtId="0" fontId="3" fillId="6" borderId="2" xfId="0" applyFont="1" applyFill="1" applyBorder="1"/>
    <xf numFmtId="0" fontId="3" fillId="7" borderId="2" xfId="0" applyFont="1" applyFill="1" applyBorder="1"/>
    <xf numFmtId="0" fontId="3" fillId="8" borderId="2" xfId="0" applyFont="1" applyFill="1" applyBorder="1"/>
    <xf numFmtId="0" fontId="3" fillId="9" borderId="2" xfId="0" applyFont="1" applyFill="1" applyBorder="1"/>
    <xf numFmtId="0" fontId="3" fillId="2" borderId="0" xfId="0" applyFont="1" applyFill="1" applyAlignment="1">
      <alignment wrapText="1"/>
    </xf>
    <xf numFmtId="166" fontId="1" fillId="0" borderId="0" xfId="0" applyNumberFormat="1" applyFont="1"/>
    <xf numFmtId="0" fontId="7" fillId="0" borderId="0" xfId="0" applyFont="1"/>
    <xf numFmtId="0" fontId="3" fillId="10" borderId="0" xfId="0" applyFont="1" applyFill="1"/>
    <xf numFmtId="0" fontId="5" fillId="11" borderId="0" xfId="0" applyFont="1" applyFill="1"/>
    <xf numFmtId="165" fontId="1" fillId="0" borderId="1" xfId="0" applyNumberFormat="1" applyFont="1" applyBorder="1"/>
    <xf numFmtId="0" fontId="1" fillId="0" borderId="2" xfId="0" applyFont="1" applyBorder="1"/>
    <xf numFmtId="0" fontId="3" fillId="10" borderId="2" xfId="0" applyFont="1" applyFill="1" applyBorder="1"/>
    <xf numFmtId="165" fontId="1" fillId="0" borderId="3" xfId="0" applyNumberFormat="1" applyFont="1" applyBorder="1"/>
    <xf numFmtId="0" fontId="0" fillId="0" borderId="0" xfId="0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3" fillId="12" borderId="0" xfId="0" applyFont="1" applyFill="1"/>
    <xf numFmtId="167" fontId="1" fillId="0" borderId="0" xfId="0" applyNumberFormat="1" applyFont="1"/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1" fillId="0" borderId="0" xfId="0" applyFont="1" applyAlignment="1">
      <alignment wrapText="1"/>
    </xf>
    <xf numFmtId="0" fontId="10" fillId="0" borderId="0" xfId="0" applyFont="1"/>
    <xf numFmtId="165" fontId="1" fillId="13" borderId="1" xfId="0" applyNumberFormat="1" applyFont="1" applyFill="1" applyBorder="1"/>
  </cellXfs>
  <cellStyles count="1">
    <cellStyle name="Normal" xfId="0" builtinId="0"/>
  </cellStyles>
  <dxfs count="10">
    <dxf>
      <font>
        <b/>
        <color rgb="FFA34E15"/>
      </font>
      <fill>
        <patternFill>
          <bgColor rgb="FFFFF2CC"/>
        </patternFill>
      </fill>
    </dxf>
    <dxf>
      <fill>
        <patternFill patternType="solid">
          <bgColor rgb="FF3E737E"/>
        </patternFill>
      </fill>
    </dxf>
    <dxf>
      <fill>
        <patternFill>
          <bgColor rgb="FF3E737E"/>
        </patternFill>
      </fill>
    </dxf>
    <dxf>
      <fill>
        <patternFill>
          <bgColor rgb="FF64748B"/>
        </patternFill>
      </fill>
    </dxf>
    <dxf>
      <fill>
        <patternFill>
          <bgColor rgb="FFB77E38"/>
        </patternFill>
      </fill>
    </dxf>
    <dxf>
      <fill>
        <patternFill>
          <bgColor rgb="FF8565A8"/>
        </patternFill>
      </fill>
    </dxf>
    <dxf>
      <fill>
        <patternFill>
          <bgColor rgb="FF527CB7"/>
        </patternFill>
      </fill>
    </dxf>
    <dxf>
      <fill>
        <patternFill>
          <bgColor rgb="FF248B81"/>
        </patternFill>
      </fill>
    </dxf>
    <dxf>
      <fill>
        <patternFill>
          <bgColor rgb="FF4169A1"/>
        </patternFill>
      </fill>
    </dxf>
    <dxf>
      <font>
        <color rgb="FFB91C1C"/>
      </font>
      <fill>
        <patternFill>
          <bgColor rgb="FFFADBD8"/>
        </patternFill>
      </fill>
    </dxf>
  </dxfs>
  <tableStyles count="0" defaultTableStyle="TableStyleMedium2" defaultPivotStyle="PivotStyleLight16"/>
  <colors>
    <mruColors>
      <color rgb="FF3E737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8B81"/>
  </sheetPr>
  <dimension ref="A1:AC100"/>
  <sheetViews>
    <sheetView showGridLines="0" tabSelected="1" zoomScale="75" workbookViewId="0">
      <pane xSplit="2" ySplit="7" topLeftCell="C8" activePane="bottomRight" state="frozen"/>
      <selection pane="topRight"/>
      <selection pane="bottomLeft"/>
      <selection pane="bottomRight" activeCell="M52" sqref="M52"/>
    </sheetView>
  </sheetViews>
  <sheetFormatPr baseColWidth="10" defaultColWidth="8.83203125" defaultRowHeight="15"/>
  <cols>
    <col min="1" max="1" width="5" customWidth="1"/>
    <col min="2" max="2" width="68" customWidth="1"/>
    <col min="3" max="5" width="7" customWidth="1"/>
    <col min="6" max="29" width="4.5" customWidth="1"/>
  </cols>
  <sheetData>
    <row r="1" spans="1:2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3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>
      <c r="A3" s="1"/>
      <c r="B3" s="1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>
      <c r="A4" s="1"/>
      <c r="B4" s="1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>
      <c r="A5" s="1"/>
      <c r="B5" s="32" t="s">
        <v>3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23" customHeight="1">
      <c r="A6" s="1"/>
      <c r="B6" s="1"/>
      <c r="C6" s="1"/>
      <c r="D6" s="1"/>
      <c r="E6" s="1"/>
      <c r="F6" s="45" t="s">
        <v>4</v>
      </c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6" t="s">
        <v>5</v>
      </c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</row>
    <row r="7" spans="1:29" ht="23" customHeight="1">
      <c r="A7" s="3" t="s">
        <v>6</v>
      </c>
      <c r="B7" s="3" t="s">
        <v>7</v>
      </c>
      <c r="C7" s="3" t="s">
        <v>8</v>
      </c>
      <c r="D7" s="3" t="s">
        <v>9</v>
      </c>
      <c r="E7" s="3" t="s">
        <v>10</v>
      </c>
      <c r="F7" s="4">
        <v>1</v>
      </c>
      <c r="G7" s="4">
        <v>2</v>
      </c>
      <c r="H7" s="4">
        <v>3</v>
      </c>
      <c r="I7" s="4">
        <v>4</v>
      </c>
      <c r="J7" s="4">
        <v>5</v>
      </c>
      <c r="K7" s="4">
        <v>6</v>
      </c>
      <c r="L7" s="4">
        <v>7</v>
      </c>
      <c r="M7" s="4">
        <v>8</v>
      </c>
      <c r="N7" s="4">
        <v>9</v>
      </c>
      <c r="O7" s="4">
        <v>10</v>
      </c>
      <c r="P7" s="4">
        <v>11</v>
      </c>
      <c r="Q7" s="4">
        <v>12</v>
      </c>
      <c r="R7" s="21">
        <v>13</v>
      </c>
      <c r="S7" s="4">
        <v>14</v>
      </c>
      <c r="T7" s="4">
        <v>15</v>
      </c>
      <c r="U7" s="4">
        <v>16</v>
      </c>
      <c r="V7" s="4">
        <v>17</v>
      </c>
      <c r="W7" s="4">
        <v>18</v>
      </c>
      <c r="X7" s="4">
        <v>19</v>
      </c>
      <c r="Y7" s="4">
        <v>20</v>
      </c>
      <c r="Z7" s="4">
        <v>21</v>
      </c>
      <c r="AA7" s="4">
        <v>22</v>
      </c>
      <c r="AB7" s="4">
        <v>23</v>
      </c>
      <c r="AC7" s="4">
        <v>24</v>
      </c>
    </row>
    <row r="8" spans="1:29" ht="23" customHeight="1">
      <c r="A8" s="7"/>
      <c r="B8" s="7" t="s">
        <v>11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22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 spans="1:29" ht="23" customHeight="1">
      <c r="A9" s="1" t="s">
        <v>12</v>
      </c>
      <c r="B9" s="1" t="s">
        <v>13</v>
      </c>
      <c r="C9" s="9">
        <v>1</v>
      </c>
      <c r="D9" s="9">
        <v>1</v>
      </c>
      <c r="E9" s="10">
        <f t="shared" ref="E9:E16" si="0">D9-C9+1</f>
        <v>1</v>
      </c>
      <c r="F9" s="11">
        <f t="shared" ref="F9:O15" si="1">IF(AND(F$7&gt;=$C9,F$7&lt;=$D9),1,0)</f>
        <v>1</v>
      </c>
      <c r="G9" s="11">
        <f t="shared" si="1"/>
        <v>0</v>
      </c>
      <c r="H9" s="11">
        <f t="shared" si="1"/>
        <v>0</v>
      </c>
      <c r="I9" s="11">
        <f t="shared" si="1"/>
        <v>0</v>
      </c>
      <c r="J9" s="11">
        <f t="shared" si="1"/>
        <v>0</v>
      </c>
      <c r="K9" s="11">
        <f t="shared" si="1"/>
        <v>0</v>
      </c>
      <c r="L9" s="11">
        <f t="shared" si="1"/>
        <v>0</v>
      </c>
      <c r="M9" s="11">
        <f t="shared" si="1"/>
        <v>0</v>
      </c>
      <c r="N9" s="11">
        <f t="shared" si="1"/>
        <v>0</v>
      </c>
      <c r="O9" s="11">
        <f t="shared" si="1"/>
        <v>0</v>
      </c>
      <c r="P9" s="11">
        <f t="shared" ref="P9:AC15" si="2">IF(AND(P$7&gt;=$C9,P$7&lt;=$D9),1,0)</f>
        <v>0</v>
      </c>
      <c r="Q9" s="11">
        <f t="shared" si="2"/>
        <v>0</v>
      </c>
      <c r="R9" s="23">
        <f t="shared" si="2"/>
        <v>0</v>
      </c>
      <c r="S9" s="11">
        <f t="shared" si="2"/>
        <v>0</v>
      </c>
      <c r="T9" s="11">
        <f t="shared" si="2"/>
        <v>0</v>
      </c>
      <c r="U9" s="11">
        <f t="shared" si="2"/>
        <v>0</v>
      </c>
      <c r="V9" s="11">
        <f t="shared" si="2"/>
        <v>0</v>
      </c>
      <c r="W9" s="11">
        <f t="shared" si="2"/>
        <v>0</v>
      </c>
      <c r="X9" s="11">
        <f t="shared" si="2"/>
        <v>0</v>
      </c>
      <c r="Y9" s="11">
        <f t="shared" si="2"/>
        <v>0</v>
      </c>
      <c r="Z9" s="11">
        <f t="shared" si="2"/>
        <v>0</v>
      </c>
      <c r="AA9" s="11">
        <f t="shared" si="2"/>
        <v>0</v>
      </c>
      <c r="AB9" s="11">
        <f t="shared" si="2"/>
        <v>0</v>
      </c>
      <c r="AC9" s="11">
        <f t="shared" si="2"/>
        <v>0</v>
      </c>
    </row>
    <row r="10" spans="1:29" ht="23" customHeight="1">
      <c r="A10" s="1" t="s">
        <v>14</v>
      </c>
      <c r="B10" s="1" t="s">
        <v>15</v>
      </c>
      <c r="C10" s="9">
        <v>1</v>
      </c>
      <c r="D10" s="9">
        <v>2</v>
      </c>
      <c r="E10" s="10">
        <f t="shared" si="0"/>
        <v>2</v>
      </c>
      <c r="F10" s="11">
        <f t="shared" si="1"/>
        <v>1</v>
      </c>
      <c r="G10" s="11">
        <f t="shared" si="1"/>
        <v>1</v>
      </c>
      <c r="H10" s="11">
        <f t="shared" si="1"/>
        <v>0</v>
      </c>
      <c r="I10" s="11">
        <f t="shared" si="1"/>
        <v>0</v>
      </c>
      <c r="J10" s="11">
        <f t="shared" si="1"/>
        <v>0</v>
      </c>
      <c r="K10" s="11">
        <f t="shared" si="1"/>
        <v>0</v>
      </c>
      <c r="L10" s="11">
        <f t="shared" si="1"/>
        <v>0</v>
      </c>
      <c r="M10" s="11">
        <f t="shared" si="1"/>
        <v>0</v>
      </c>
      <c r="N10" s="11">
        <f t="shared" si="1"/>
        <v>0</v>
      </c>
      <c r="O10" s="11">
        <f t="shared" si="1"/>
        <v>0</v>
      </c>
      <c r="P10" s="11">
        <f t="shared" si="2"/>
        <v>0</v>
      </c>
      <c r="Q10" s="11">
        <f t="shared" si="2"/>
        <v>0</v>
      </c>
      <c r="R10" s="23">
        <f t="shared" si="2"/>
        <v>0</v>
      </c>
      <c r="S10" s="11">
        <f t="shared" si="2"/>
        <v>0</v>
      </c>
      <c r="T10" s="11">
        <f t="shared" si="2"/>
        <v>0</v>
      </c>
      <c r="U10" s="11">
        <f t="shared" si="2"/>
        <v>0</v>
      </c>
      <c r="V10" s="11">
        <f t="shared" si="2"/>
        <v>0</v>
      </c>
      <c r="W10" s="11">
        <f t="shared" si="2"/>
        <v>0</v>
      </c>
      <c r="X10" s="11">
        <f t="shared" si="2"/>
        <v>0</v>
      </c>
      <c r="Y10" s="11">
        <f t="shared" si="2"/>
        <v>0</v>
      </c>
      <c r="Z10" s="11">
        <f t="shared" si="2"/>
        <v>0</v>
      </c>
      <c r="AA10" s="11">
        <f t="shared" si="2"/>
        <v>0</v>
      </c>
      <c r="AB10" s="11">
        <f t="shared" si="2"/>
        <v>0</v>
      </c>
      <c r="AC10" s="11">
        <f t="shared" si="2"/>
        <v>0</v>
      </c>
    </row>
    <row r="11" spans="1:29" ht="23" customHeight="1">
      <c r="A11" s="1" t="s">
        <v>16</v>
      </c>
      <c r="B11" s="1" t="s">
        <v>17</v>
      </c>
      <c r="C11" s="9">
        <v>1</v>
      </c>
      <c r="D11" s="9">
        <v>2</v>
      </c>
      <c r="E11" s="10">
        <f t="shared" si="0"/>
        <v>2</v>
      </c>
      <c r="F11" s="11">
        <f t="shared" si="1"/>
        <v>1</v>
      </c>
      <c r="G11" s="11">
        <f t="shared" si="1"/>
        <v>1</v>
      </c>
      <c r="H11" s="11">
        <f t="shared" si="1"/>
        <v>0</v>
      </c>
      <c r="I11" s="11">
        <f t="shared" si="1"/>
        <v>0</v>
      </c>
      <c r="J11" s="11">
        <f t="shared" si="1"/>
        <v>0</v>
      </c>
      <c r="K11" s="11">
        <f t="shared" si="1"/>
        <v>0</v>
      </c>
      <c r="L11" s="11">
        <f t="shared" si="1"/>
        <v>0</v>
      </c>
      <c r="M11" s="11">
        <f t="shared" si="1"/>
        <v>0</v>
      </c>
      <c r="N11" s="11">
        <f t="shared" si="1"/>
        <v>0</v>
      </c>
      <c r="O11" s="11">
        <f t="shared" si="1"/>
        <v>0</v>
      </c>
      <c r="P11" s="11">
        <f t="shared" si="2"/>
        <v>0</v>
      </c>
      <c r="Q11" s="11">
        <f t="shared" si="2"/>
        <v>0</v>
      </c>
      <c r="R11" s="23">
        <f t="shared" si="2"/>
        <v>0</v>
      </c>
      <c r="S11" s="11">
        <f t="shared" si="2"/>
        <v>0</v>
      </c>
      <c r="T11" s="11">
        <f t="shared" si="2"/>
        <v>0</v>
      </c>
      <c r="U11" s="11">
        <f t="shared" si="2"/>
        <v>0</v>
      </c>
      <c r="V11" s="11">
        <f t="shared" si="2"/>
        <v>0</v>
      </c>
      <c r="W11" s="11">
        <f t="shared" si="2"/>
        <v>0</v>
      </c>
      <c r="X11" s="11">
        <f t="shared" si="2"/>
        <v>0</v>
      </c>
      <c r="Y11" s="11">
        <f t="shared" si="2"/>
        <v>0</v>
      </c>
      <c r="Z11" s="11">
        <f t="shared" si="2"/>
        <v>0</v>
      </c>
      <c r="AA11" s="11">
        <f t="shared" si="2"/>
        <v>0</v>
      </c>
      <c r="AB11" s="11">
        <f t="shared" si="2"/>
        <v>0</v>
      </c>
      <c r="AC11" s="11">
        <f t="shared" si="2"/>
        <v>0</v>
      </c>
    </row>
    <row r="12" spans="1:29" ht="23" customHeight="1">
      <c r="A12" s="1" t="s">
        <v>18</v>
      </c>
      <c r="B12" s="1" t="s">
        <v>19</v>
      </c>
      <c r="C12" s="9">
        <v>1</v>
      </c>
      <c r="D12" s="9">
        <v>2</v>
      </c>
      <c r="E12" s="10">
        <f t="shared" si="0"/>
        <v>2</v>
      </c>
      <c r="F12" s="11">
        <f t="shared" si="1"/>
        <v>1</v>
      </c>
      <c r="G12" s="11">
        <f t="shared" si="1"/>
        <v>1</v>
      </c>
      <c r="H12" s="11">
        <f t="shared" si="1"/>
        <v>0</v>
      </c>
      <c r="I12" s="11">
        <f t="shared" si="1"/>
        <v>0</v>
      </c>
      <c r="J12" s="11">
        <f t="shared" si="1"/>
        <v>0</v>
      </c>
      <c r="K12" s="11">
        <f t="shared" si="1"/>
        <v>0</v>
      </c>
      <c r="L12" s="11">
        <f t="shared" si="1"/>
        <v>0</v>
      </c>
      <c r="M12" s="11">
        <f t="shared" si="1"/>
        <v>0</v>
      </c>
      <c r="N12" s="11">
        <f t="shared" si="1"/>
        <v>0</v>
      </c>
      <c r="O12" s="11">
        <f t="shared" si="1"/>
        <v>0</v>
      </c>
      <c r="P12" s="11">
        <f t="shared" si="2"/>
        <v>0</v>
      </c>
      <c r="Q12" s="11">
        <f t="shared" si="2"/>
        <v>0</v>
      </c>
      <c r="R12" s="23">
        <f t="shared" si="2"/>
        <v>0</v>
      </c>
      <c r="S12" s="11">
        <f t="shared" si="2"/>
        <v>0</v>
      </c>
      <c r="T12" s="11">
        <f t="shared" si="2"/>
        <v>0</v>
      </c>
      <c r="U12" s="11">
        <f t="shared" si="2"/>
        <v>0</v>
      </c>
      <c r="V12" s="11">
        <f t="shared" si="2"/>
        <v>0</v>
      </c>
      <c r="W12" s="11">
        <f t="shared" si="2"/>
        <v>0</v>
      </c>
      <c r="X12" s="11">
        <f t="shared" si="2"/>
        <v>0</v>
      </c>
      <c r="Y12" s="11">
        <f t="shared" si="2"/>
        <v>0</v>
      </c>
      <c r="Z12" s="11">
        <f t="shared" si="2"/>
        <v>0</v>
      </c>
      <c r="AA12" s="11">
        <f t="shared" si="2"/>
        <v>0</v>
      </c>
      <c r="AB12" s="11">
        <f t="shared" si="2"/>
        <v>0</v>
      </c>
      <c r="AC12" s="11">
        <f t="shared" si="2"/>
        <v>0</v>
      </c>
    </row>
    <row r="13" spans="1:29" ht="23" customHeight="1">
      <c r="A13" s="1" t="s">
        <v>20</v>
      </c>
      <c r="B13" s="1" t="s">
        <v>21</v>
      </c>
      <c r="C13" s="9">
        <v>1</v>
      </c>
      <c r="D13" s="9">
        <v>3</v>
      </c>
      <c r="E13" s="10">
        <f t="shared" si="0"/>
        <v>3</v>
      </c>
      <c r="F13" s="11">
        <f t="shared" si="1"/>
        <v>1</v>
      </c>
      <c r="G13" s="11">
        <f t="shared" si="1"/>
        <v>1</v>
      </c>
      <c r="H13" s="11">
        <f t="shared" si="1"/>
        <v>1</v>
      </c>
      <c r="I13" s="11">
        <f t="shared" si="1"/>
        <v>0</v>
      </c>
      <c r="J13" s="11">
        <f t="shared" si="1"/>
        <v>0</v>
      </c>
      <c r="K13" s="11">
        <f t="shared" si="1"/>
        <v>0</v>
      </c>
      <c r="L13" s="11">
        <f t="shared" si="1"/>
        <v>0</v>
      </c>
      <c r="M13" s="11">
        <f t="shared" si="1"/>
        <v>0</v>
      </c>
      <c r="N13" s="11">
        <f t="shared" si="1"/>
        <v>0</v>
      </c>
      <c r="O13" s="11">
        <f t="shared" si="1"/>
        <v>0</v>
      </c>
      <c r="P13" s="11">
        <f t="shared" si="2"/>
        <v>0</v>
      </c>
      <c r="Q13" s="11">
        <f t="shared" si="2"/>
        <v>0</v>
      </c>
      <c r="R13" s="23">
        <f t="shared" si="2"/>
        <v>0</v>
      </c>
      <c r="S13" s="11">
        <f t="shared" si="2"/>
        <v>0</v>
      </c>
      <c r="T13" s="11">
        <f t="shared" si="2"/>
        <v>0</v>
      </c>
      <c r="U13" s="11">
        <f t="shared" si="2"/>
        <v>0</v>
      </c>
      <c r="V13" s="11">
        <f t="shared" si="2"/>
        <v>0</v>
      </c>
      <c r="W13" s="11">
        <f t="shared" si="2"/>
        <v>0</v>
      </c>
      <c r="X13" s="11">
        <f t="shared" si="2"/>
        <v>0</v>
      </c>
      <c r="Y13" s="11">
        <f t="shared" si="2"/>
        <v>0</v>
      </c>
      <c r="Z13" s="11">
        <f t="shared" si="2"/>
        <v>0</v>
      </c>
      <c r="AA13" s="11">
        <f t="shared" si="2"/>
        <v>0</v>
      </c>
      <c r="AB13" s="11">
        <f t="shared" si="2"/>
        <v>0</v>
      </c>
      <c r="AC13" s="11">
        <f t="shared" si="2"/>
        <v>0</v>
      </c>
    </row>
    <row r="14" spans="1:29" ht="23" customHeight="1">
      <c r="A14" s="1" t="s">
        <v>22</v>
      </c>
      <c r="B14" s="1" t="s">
        <v>23</v>
      </c>
      <c r="C14" s="9">
        <v>1</v>
      </c>
      <c r="D14" s="9">
        <v>2</v>
      </c>
      <c r="E14" s="10">
        <f t="shared" si="0"/>
        <v>2</v>
      </c>
      <c r="F14" s="11">
        <f t="shared" si="1"/>
        <v>1</v>
      </c>
      <c r="G14" s="11">
        <f t="shared" si="1"/>
        <v>1</v>
      </c>
      <c r="H14" s="11">
        <f t="shared" si="1"/>
        <v>0</v>
      </c>
      <c r="I14" s="11">
        <f t="shared" si="1"/>
        <v>0</v>
      </c>
      <c r="J14" s="11">
        <f t="shared" si="1"/>
        <v>0</v>
      </c>
      <c r="K14" s="11">
        <f t="shared" si="1"/>
        <v>0</v>
      </c>
      <c r="L14" s="11">
        <f t="shared" si="1"/>
        <v>0</v>
      </c>
      <c r="M14" s="11">
        <f t="shared" si="1"/>
        <v>0</v>
      </c>
      <c r="N14" s="11">
        <f t="shared" si="1"/>
        <v>0</v>
      </c>
      <c r="O14" s="11">
        <f t="shared" si="1"/>
        <v>0</v>
      </c>
      <c r="P14" s="11">
        <f t="shared" si="2"/>
        <v>0</v>
      </c>
      <c r="Q14" s="11">
        <f t="shared" si="2"/>
        <v>0</v>
      </c>
      <c r="R14" s="23">
        <f t="shared" si="2"/>
        <v>0</v>
      </c>
      <c r="S14" s="11">
        <f t="shared" si="2"/>
        <v>0</v>
      </c>
      <c r="T14" s="11">
        <f t="shared" si="2"/>
        <v>0</v>
      </c>
      <c r="U14" s="11">
        <f t="shared" si="2"/>
        <v>0</v>
      </c>
      <c r="V14" s="11">
        <f t="shared" si="2"/>
        <v>0</v>
      </c>
      <c r="W14" s="11">
        <f t="shared" si="2"/>
        <v>0</v>
      </c>
      <c r="X14" s="11">
        <f t="shared" si="2"/>
        <v>0</v>
      </c>
      <c r="Y14" s="11">
        <f t="shared" si="2"/>
        <v>0</v>
      </c>
      <c r="Z14" s="11">
        <f t="shared" si="2"/>
        <v>0</v>
      </c>
      <c r="AA14" s="11">
        <f t="shared" si="2"/>
        <v>0</v>
      </c>
      <c r="AB14" s="11">
        <f t="shared" si="2"/>
        <v>0</v>
      </c>
      <c r="AC14" s="11">
        <f t="shared" si="2"/>
        <v>0</v>
      </c>
    </row>
    <row r="15" spans="1:29" ht="23" customHeight="1">
      <c r="A15" s="1" t="s">
        <v>24</v>
      </c>
      <c r="B15" s="1" t="s">
        <v>25</v>
      </c>
      <c r="C15" s="9">
        <v>1</v>
      </c>
      <c r="D15" s="9">
        <v>2</v>
      </c>
      <c r="E15" s="10">
        <f t="shared" si="0"/>
        <v>2</v>
      </c>
      <c r="F15" s="11">
        <f t="shared" si="1"/>
        <v>1</v>
      </c>
      <c r="G15" s="11">
        <f t="shared" si="1"/>
        <v>1</v>
      </c>
      <c r="H15" s="11">
        <f t="shared" si="1"/>
        <v>0</v>
      </c>
      <c r="I15" s="11">
        <f t="shared" si="1"/>
        <v>0</v>
      </c>
      <c r="J15" s="11">
        <f t="shared" si="1"/>
        <v>0</v>
      </c>
      <c r="K15" s="11">
        <f t="shared" si="1"/>
        <v>0</v>
      </c>
      <c r="L15" s="11">
        <f t="shared" si="1"/>
        <v>0</v>
      </c>
      <c r="M15" s="11">
        <f t="shared" si="1"/>
        <v>0</v>
      </c>
      <c r="N15" s="11">
        <f t="shared" si="1"/>
        <v>0</v>
      </c>
      <c r="O15" s="11">
        <f t="shared" si="1"/>
        <v>0</v>
      </c>
      <c r="P15" s="11">
        <f t="shared" si="2"/>
        <v>0</v>
      </c>
      <c r="Q15" s="11">
        <f t="shared" si="2"/>
        <v>0</v>
      </c>
      <c r="R15" s="23">
        <f t="shared" si="2"/>
        <v>0</v>
      </c>
      <c r="S15" s="11">
        <f t="shared" si="2"/>
        <v>0</v>
      </c>
      <c r="T15" s="11">
        <f t="shared" si="2"/>
        <v>0</v>
      </c>
      <c r="U15" s="11">
        <f t="shared" si="2"/>
        <v>0</v>
      </c>
      <c r="V15" s="11">
        <f t="shared" si="2"/>
        <v>0</v>
      </c>
      <c r="W15" s="11">
        <f t="shared" si="2"/>
        <v>0</v>
      </c>
      <c r="X15" s="11">
        <f t="shared" si="2"/>
        <v>0</v>
      </c>
      <c r="Y15" s="11">
        <f t="shared" si="2"/>
        <v>0</v>
      </c>
      <c r="Z15" s="11">
        <f t="shared" si="2"/>
        <v>0</v>
      </c>
      <c r="AA15" s="11">
        <f t="shared" si="2"/>
        <v>0</v>
      </c>
      <c r="AB15" s="11">
        <f t="shared" si="2"/>
        <v>0</v>
      </c>
      <c r="AC15" s="11">
        <f t="shared" si="2"/>
        <v>0</v>
      </c>
    </row>
    <row r="16" spans="1:29" ht="23" customHeight="1">
      <c r="A16" s="12" t="s">
        <v>26</v>
      </c>
      <c r="B16" s="12" t="s">
        <v>27</v>
      </c>
      <c r="C16" s="13">
        <v>2</v>
      </c>
      <c r="D16" s="13">
        <v>2</v>
      </c>
      <c r="E16" s="14">
        <f t="shared" si="0"/>
        <v>1</v>
      </c>
      <c r="F16" s="15" t="str">
        <f t="shared" ref="F16:AC16" si="3">IF(F$7=$C16,"◆","")</f>
        <v/>
      </c>
      <c r="G16" s="15" t="str">
        <f t="shared" si="3"/>
        <v>◆</v>
      </c>
      <c r="H16" s="15" t="str">
        <f t="shared" si="3"/>
        <v/>
      </c>
      <c r="I16" s="15" t="str">
        <f t="shared" si="3"/>
        <v/>
      </c>
      <c r="J16" s="15" t="str">
        <f t="shared" si="3"/>
        <v/>
      </c>
      <c r="K16" s="15" t="str">
        <f t="shared" si="3"/>
        <v/>
      </c>
      <c r="L16" s="15" t="str">
        <f t="shared" si="3"/>
        <v/>
      </c>
      <c r="M16" s="15" t="str">
        <f t="shared" si="3"/>
        <v/>
      </c>
      <c r="N16" s="15" t="str">
        <f t="shared" si="3"/>
        <v/>
      </c>
      <c r="O16" s="15" t="str">
        <f t="shared" si="3"/>
        <v/>
      </c>
      <c r="P16" s="15" t="str">
        <f t="shared" si="3"/>
        <v/>
      </c>
      <c r="Q16" s="15" t="str">
        <f t="shared" si="3"/>
        <v/>
      </c>
      <c r="R16" s="24" t="str">
        <f t="shared" si="3"/>
        <v/>
      </c>
      <c r="S16" s="15" t="str">
        <f t="shared" si="3"/>
        <v/>
      </c>
      <c r="T16" s="15" t="str">
        <f t="shared" si="3"/>
        <v/>
      </c>
      <c r="U16" s="15" t="str">
        <f t="shared" si="3"/>
        <v/>
      </c>
      <c r="V16" s="15" t="str">
        <f t="shared" si="3"/>
        <v/>
      </c>
      <c r="W16" s="15" t="str">
        <f t="shared" si="3"/>
        <v/>
      </c>
      <c r="X16" s="15" t="str">
        <f t="shared" si="3"/>
        <v/>
      </c>
      <c r="Y16" s="15" t="str">
        <f t="shared" si="3"/>
        <v/>
      </c>
      <c r="Z16" s="15" t="str">
        <f t="shared" si="3"/>
        <v/>
      </c>
      <c r="AA16" s="15" t="str">
        <f t="shared" si="3"/>
        <v/>
      </c>
      <c r="AB16" s="15" t="str">
        <f t="shared" si="3"/>
        <v/>
      </c>
      <c r="AC16" s="15" t="str">
        <f t="shared" si="3"/>
        <v/>
      </c>
    </row>
    <row r="17" spans="1:29" ht="23" customHeight="1">
      <c r="A17" s="16"/>
      <c r="B17" s="16" t="s">
        <v>28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25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</row>
    <row r="18" spans="1:29" ht="23" customHeight="1">
      <c r="A18" s="1" t="s">
        <v>29</v>
      </c>
      <c r="B18" s="1" t="s">
        <v>30</v>
      </c>
      <c r="C18" s="9">
        <v>2</v>
      </c>
      <c r="D18" s="9">
        <v>4</v>
      </c>
      <c r="E18" s="10">
        <f>D18-C18+1</f>
        <v>3</v>
      </c>
      <c r="F18" s="11">
        <f t="shared" ref="F18:O21" si="4">IF(AND(F$7&gt;=$C18,F$7&lt;=$D18),1,0)</f>
        <v>0</v>
      </c>
      <c r="G18" s="11">
        <f t="shared" si="4"/>
        <v>1</v>
      </c>
      <c r="H18" s="11">
        <f t="shared" si="4"/>
        <v>1</v>
      </c>
      <c r="I18" s="11">
        <f t="shared" si="4"/>
        <v>1</v>
      </c>
      <c r="J18" s="11">
        <f t="shared" si="4"/>
        <v>0</v>
      </c>
      <c r="K18" s="11">
        <f t="shared" si="4"/>
        <v>0</v>
      </c>
      <c r="L18" s="11">
        <f t="shared" si="4"/>
        <v>0</v>
      </c>
      <c r="M18" s="11">
        <f t="shared" si="4"/>
        <v>0</v>
      </c>
      <c r="N18" s="11">
        <f t="shared" si="4"/>
        <v>0</v>
      </c>
      <c r="O18" s="11">
        <f t="shared" si="4"/>
        <v>0</v>
      </c>
      <c r="P18" s="11">
        <f t="shared" ref="P18:AC21" si="5">IF(AND(P$7&gt;=$C18,P$7&lt;=$D18),1,0)</f>
        <v>0</v>
      </c>
      <c r="Q18" s="11">
        <f t="shared" si="5"/>
        <v>0</v>
      </c>
      <c r="R18" s="23">
        <f t="shared" si="5"/>
        <v>0</v>
      </c>
      <c r="S18" s="11">
        <f t="shared" si="5"/>
        <v>0</v>
      </c>
      <c r="T18" s="11">
        <f t="shared" si="5"/>
        <v>0</v>
      </c>
      <c r="U18" s="11">
        <f t="shared" si="5"/>
        <v>0</v>
      </c>
      <c r="V18" s="11">
        <f t="shared" si="5"/>
        <v>0</v>
      </c>
      <c r="W18" s="11">
        <f t="shared" si="5"/>
        <v>0</v>
      </c>
      <c r="X18" s="11">
        <f t="shared" si="5"/>
        <v>0</v>
      </c>
      <c r="Y18" s="11">
        <f t="shared" si="5"/>
        <v>0</v>
      </c>
      <c r="Z18" s="11">
        <f t="shared" si="5"/>
        <v>0</v>
      </c>
      <c r="AA18" s="11">
        <f t="shared" si="5"/>
        <v>0</v>
      </c>
      <c r="AB18" s="11">
        <f t="shared" si="5"/>
        <v>0</v>
      </c>
      <c r="AC18" s="11">
        <f t="shared" si="5"/>
        <v>0</v>
      </c>
    </row>
    <row r="19" spans="1:29" ht="23" customHeight="1">
      <c r="A19" s="1" t="s">
        <v>31</v>
      </c>
      <c r="B19" s="1" t="s">
        <v>32</v>
      </c>
      <c r="C19" s="9">
        <v>2</v>
      </c>
      <c r="D19" s="9">
        <v>4</v>
      </c>
      <c r="E19" s="10">
        <f>D19-C19+1</f>
        <v>3</v>
      </c>
      <c r="F19" s="11">
        <f t="shared" si="4"/>
        <v>0</v>
      </c>
      <c r="G19" s="11">
        <f t="shared" si="4"/>
        <v>1</v>
      </c>
      <c r="H19" s="11">
        <f t="shared" si="4"/>
        <v>1</v>
      </c>
      <c r="I19" s="11">
        <f t="shared" si="4"/>
        <v>1</v>
      </c>
      <c r="J19" s="11">
        <f t="shared" si="4"/>
        <v>0</v>
      </c>
      <c r="K19" s="11">
        <f t="shared" si="4"/>
        <v>0</v>
      </c>
      <c r="L19" s="11">
        <f t="shared" si="4"/>
        <v>0</v>
      </c>
      <c r="M19" s="11">
        <f t="shared" si="4"/>
        <v>0</v>
      </c>
      <c r="N19" s="11">
        <f t="shared" si="4"/>
        <v>0</v>
      </c>
      <c r="O19" s="11">
        <f t="shared" si="4"/>
        <v>0</v>
      </c>
      <c r="P19" s="11">
        <f t="shared" si="5"/>
        <v>0</v>
      </c>
      <c r="Q19" s="11">
        <f t="shared" si="5"/>
        <v>0</v>
      </c>
      <c r="R19" s="23">
        <f t="shared" si="5"/>
        <v>0</v>
      </c>
      <c r="S19" s="11">
        <f t="shared" si="5"/>
        <v>0</v>
      </c>
      <c r="T19" s="11">
        <f t="shared" si="5"/>
        <v>0</v>
      </c>
      <c r="U19" s="11">
        <f t="shared" si="5"/>
        <v>0</v>
      </c>
      <c r="V19" s="11">
        <f t="shared" si="5"/>
        <v>0</v>
      </c>
      <c r="W19" s="11">
        <f t="shared" si="5"/>
        <v>0</v>
      </c>
      <c r="X19" s="11">
        <f t="shared" si="5"/>
        <v>0</v>
      </c>
      <c r="Y19" s="11">
        <f t="shared" si="5"/>
        <v>0</v>
      </c>
      <c r="Z19" s="11">
        <f t="shared" si="5"/>
        <v>0</v>
      </c>
      <c r="AA19" s="11">
        <f t="shared" si="5"/>
        <v>0</v>
      </c>
      <c r="AB19" s="11">
        <f t="shared" si="5"/>
        <v>0</v>
      </c>
      <c r="AC19" s="11">
        <f t="shared" si="5"/>
        <v>0</v>
      </c>
    </row>
    <row r="20" spans="1:29" ht="23" customHeight="1">
      <c r="A20" s="1" t="s">
        <v>33</v>
      </c>
      <c r="B20" s="1" t="s">
        <v>34</v>
      </c>
      <c r="C20" s="9">
        <v>3</v>
      </c>
      <c r="D20" s="9">
        <v>4</v>
      </c>
      <c r="E20" s="10">
        <f>D20-C20+1</f>
        <v>2</v>
      </c>
      <c r="F20" s="11">
        <f t="shared" si="4"/>
        <v>0</v>
      </c>
      <c r="G20" s="11">
        <f t="shared" si="4"/>
        <v>0</v>
      </c>
      <c r="H20" s="11">
        <f t="shared" si="4"/>
        <v>1</v>
      </c>
      <c r="I20" s="11">
        <f t="shared" si="4"/>
        <v>1</v>
      </c>
      <c r="J20" s="11">
        <f t="shared" si="4"/>
        <v>0</v>
      </c>
      <c r="K20" s="11">
        <f t="shared" si="4"/>
        <v>0</v>
      </c>
      <c r="L20" s="11">
        <f t="shared" si="4"/>
        <v>0</v>
      </c>
      <c r="M20" s="11">
        <f t="shared" si="4"/>
        <v>0</v>
      </c>
      <c r="N20" s="11">
        <f t="shared" si="4"/>
        <v>0</v>
      </c>
      <c r="O20" s="11">
        <f t="shared" si="4"/>
        <v>0</v>
      </c>
      <c r="P20" s="11">
        <f t="shared" si="5"/>
        <v>0</v>
      </c>
      <c r="Q20" s="11">
        <f t="shared" si="5"/>
        <v>0</v>
      </c>
      <c r="R20" s="23">
        <f t="shared" si="5"/>
        <v>0</v>
      </c>
      <c r="S20" s="11">
        <f t="shared" si="5"/>
        <v>0</v>
      </c>
      <c r="T20" s="11">
        <f t="shared" si="5"/>
        <v>0</v>
      </c>
      <c r="U20" s="11">
        <f t="shared" si="5"/>
        <v>0</v>
      </c>
      <c r="V20" s="11">
        <f t="shared" si="5"/>
        <v>0</v>
      </c>
      <c r="W20" s="11">
        <f t="shared" si="5"/>
        <v>0</v>
      </c>
      <c r="X20" s="11">
        <f t="shared" si="5"/>
        <v>0</v>
      </c>
      <c r="Y20" s="11">
        <f t="shared" si="5"/>
        <v>0</v>
      </c>
      <c r="Z20" s="11">
        <f t="shared" si="5"/>
        <v>0</v>
      </c>
      <c r="AA20" s="11">
        <f t="shared" si="5"/>
        <v>0</v>
      </c>
      <c r="AB20" s="11">
        <f t="shared" si="5"/>
        <v>0</v>
      </c>
      <c r="AC20" s="11">
        <f t="shared" si="5"/>
        <v>0</v>
      </c>
    </row>
    <row r="21" spans="1:29" ht="23" customHeight="1">
      <c r="A21" s="1" t="s">
        <v>35</v>
      </c>
      <c r="B21" s="1" t="s">
        <v>36</v>
      </c>
      <c r="C21" s="9">
        <v>2</v>
      </c>
      <c r="D21" s="9">
        <v>4</v>
      </c>
      <c r="E21" s="10">
        <f>D21-C21+1</f>
        <v>3</v>
      </c>
      <c r="F21" s="11">
        <f t="shared" si="4"/>
        <v>0</v>
      </c>
      <c r="G21" s="11">
        <f t="shared" si="4"/>
        <v>1</v>
      </c>
      <c r="H21" s="11">
        <f t="shared" si="4"/>
        <v>1</v>
      </c>
      <c r="I21" s="11">
        <f t="shared" si="4"/>
        <v>1</v>
      </c>
      <c r="J21" s="11">
        <f t="shared" si="4"/>
        <v>0</v>
      </c>
      <c r="K21" s="11">
        <f t="shared" si="4"/>
        <v>0</v>
      </c>
      <c r="L21" s="11">
        <f t="shared" si="4"/>
        <v>0</v>
      </c>
      <c r="M21" s="11">
        <f t="shared" si="4"/>
        <v>0</v>
      </c>
      <c r="N21" s="11">
        <f t="shared" si="4"/>
        <v>0</v>
      </c>
      <c r="O21" s="11">
        <f t="shared" si="4"/>
        <v>0</v>
      </c>
      <c r="P21" s="11">
        <f t="shared" si="5"/>
        <v>0</v>
      </c>
      <c r="Q21" s="11">
        <f t="shared" si="5"/>
        <v>0</v>
      </c>
      <c r="R21" s="23">
        <f t="shared" si="5"/>
        <v>0</v>
      </c>
      <c r="S21" s="11">
        <f t="shared" si="5"/>
        <v>0</v>
      </c>
      <c r="T21" s="11">
        <f t="shared" si="5"/>
        <v>0</v>
      </c>
      <c r="U21" s="11">
        <f t="shared" si="5"/>
        <v>0</v>
      </c>
      <c r="V21" s="11">
        <f t="shared" si="5"/>
        <v>0</v>
      </c>
      <c r="W21" s="11">
        <f t="shared" si="5"/>
        <v>0</v>
      </c>
      <c r="X21" s="11">
        <f t="shared" si="5"/>
        <v>0</v>
      </c>
      <c r="Y21" s="11">
        <f t="shared" si="5"/>
        <v>0</v>
      </c>
      <c r="Z21" s="11">
        <f t="shared" si="5"/>
        <v>0</v>
      </c>
      <c r="AA21" s="11">
        <f t="shared" si="5"/>
        <v>0</v>
      </c>
      <c r="AB21" s="11">
        <f t="shared" si="5"/>
        <v>0</v>
      </c>
      <c r="AC21" s="11">
        <f t="shared" si="5"/>
        <v>0</v>
      </c>
    </row>
    <row r="22" spans="1:29" ht="23" customHeight="1">
      <c r="A22" s="12" t="s">
        <v>37</v>
      </c>
      <c r="B22" s="12" t="s">
        <v>38</v>
      </c>
      <c r="C22" s="13">
        <v>4</v>
      </c>
      <c r="D22" s="13">
        <v>4</v>
      </c>
      <c r="E22" s="14">
        <f>D22-C22+1</f>
        <v>1</v>
      </c>
      <c r="F22" s="15" t="str">
        <f t="shared" ref="F22:AC22" si="6">IF(F$7=$C22,"◆","")</f>
        <v/>
      </c>
      <c r="G22" s="15" t="str">
        <f t="shared" si="6"/>
        <v/>
      </c>
      <c r="H22" s="15" t="str">
        <f t="shared" si="6"/>
        <v/>
      </c>
      <c r="I22" s="15" t="str">
        <f t="shared" si="6"/>
        <v>◆</v>
      </c>
      <c r="J22" s="15" t="str">
        <f t="shared" si="6"/>
        <v/>
      </c>
      <c r="K22" s="15" t="str">
        <f t="shared" si="6"/>
        <v/>
      </c>
      <c r="L22" s="15" t="str">
        <f t="shared" si="6"/>
        <v/>
      </c>
      <c r="M22" s="15" t="str">
        <f t="shared" si="6"/>
        <v/>
      </c>
      <c r="N22" s="15" t="str">
        <f t="shared" si="6"/>
        <v/>
      </c>
      <c r="O22" s="15" t="str">
        <f t="shared" si="6"/>
        <v/>
      </c>
      <c r="P22" s="15" t="str">
        <f t="shared" si="6"/>
        <v/>
      </c>
      <c r="Q22" s="15" t="str">
        <f t="shared" si="6"/>
        <v/>
      </c>
      <c r="R22" s="24" t="str">
        <f t="shared" si="6"/>
        <v/>
      </c>
      <c r="S22" s="15" t="str">
        <f t="shared" si="6"/>
        <v/>
      </c>
      <c r="T22" s="15" t="str">
        <f t="shared" si="6"/>
        <v/>
      </c>
      <c r="U22" s="15" t="str">
        <f t="shared" si="6"/>
        <v/>
      </c>
      <c r="V22" s="15" t="str">
        <f t="shared" si="6"/>
        <v/>
      </c>
      <c r="W22" s="15" t="str">
        <f t="shared" si="6"/>
        <v/>
      </c>
      <c r="X22" s="15" t="str">
        <f t="shared" si="6"/>
        <v/>
      </c>
      <c r="Y22" s="15" t="str">
        <f t="shared" si="6"/>
        <v/>
      </c>
      <c r="Z22" s="15" t="str">
        <f t="shared" si="6"/>
        <v/>
      </c>
      <c r="AA22" s="15" t="str">
        <f t="shared" si="6"/>
        <v/>
      </c>
      <c r="AB22" s="15" t="str">
        <f t="shared" si="6"/>
        <v/>
      </c>
      <c r="AC22" s="15" t="str">
        <f t="shared" si="6"/>
        <v/>
      </c>
    </row>
    <row r="23" spans="1:29" ht="23" customHeight="1">
      <c r="A23" s="17"/>
      <c r="B23" s="17" t="s">
        <v>39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26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</row>
    <row r="24" spans="1:29" ht="23" customHeight="1">
      <c r="A24" s="1" t="s">
        <v>40</v>
      </c>
      <c r="B24" s="1" t="s">
        <v>41</v>
      </c>
      <c r="C24" s="9">
        <v>5</v>
      </c>
      <c r="D24" s="9">
        <v>9</v>
      </c>
      <c r="E24" s="10">
        <f t="shared" ref="E24:E29" si="7">D24-C24+1</f>
        <v>5</v>
      </c>
      <c r="F24" s="11">
        <f t="shared" ref="F24:O28" si="8">IF(AND(F$7&gt;=$C24,F$7&lt;=$D24),1,0)</f>
        <v>0</v>
      </c>
      <c r="G24" s="11">
        <f t="shared" si="8"/>
        <v>0</v>
      </c>
      <c r="H24" s="11">
        <f t="shared" si="8"/>
        <v>0</v>
      </c>
      <c r="I24" s="11">
        <f t="shared" si="8"/>
        <v>0</v>
      </c>
      <c r="J24" s="11">
        <f t="shared" si="8"/>
        <v>1</v>
      </c>
      <c r="K24" s="11">
        <f t="shared" si="8"/>
        <v>1</v>
      </c>
      <c r="L24" s="11">
        <f t="shared" si="8"/>
        <v>1</v>
      </c>
      <c r="M24" s="11">
        <f t="shared" si="8"/>
        <v>1</v>
      </c>
      <c r="N24" s="11">
        <f t="shared" si="8"/>
        <v>1</v>
      </c>
      <c r="O24" s="11">
        <f t="shared" si="8"/>
        <v>0</v>
      </c>
      <c r="P24" s="11">
        <f t="shared" ref="P24:AC28" si="9">IF(AND(P$7&gt;=$C24,P$7&lt;=$D24),1,0)</f>
        <v>0</v>
      </c>
      <c r="Q24" s="11">
        <f t="shared" si="9"/>
        <v>0</v>
      </c>
      <c r="R24" s="23">
        <f t="shared" si="9"/>
        <v>0</v>
      </c>
      <c r="S24" s="11">
        <f t="shared" si="9"/>
        <v>0</v>
      </c>
      <c r="T24" s="11">
        <f t="shared" si="9"/>
        <v>0</v>
      </c>
      <c r="U24" s="11">
        <f t="shared" si="9"/>
        <v>0</v>
      </c>
      <c r="V24" s="11">
        <f t="shared" si="9"/>
        <v>0</v>
      </c>
      <c r="W24" s="11">
        <f t="shared" si="9"/>
        <v>0</v>
      </c>
      <c r="X24" s="11">
        <f t="shared" si="9"/>
        <v>0</v>
      </c>
      <c r="Y24" s="11">
        <f t="shared" si="9"/>
        <v>0</v>
      </c>
      <c r="Z24" s="11">
        <f t="shared" si="9"/>
        <v>0</v>
      </c>
      <c r="AA24" s="11">
        <f t="shared" si="9"/>
        <v>0</v>
      </c>
      <c r="AB24" s="11">
        <f t="shared" si="9"/>
        <v>0</v>
      </c>
      <c r="AC24" s="11">
        <f t="shared" si="9"/>
        <v>0</v>
      </c>
    </row>
    <row r="25" spans="1:29" ht="23" customHeight="1">
      <c r="A25" s="1" t="s">
        <v>42</v>
      </c>
      <c r="B25" s="1" t="s">
        <v>43</v>
      </c>
      <c r="C25" s="9">
        <v>5</v>
      </c>
      <c r="D25" s="9">
        <v>9</v>
      </c>
      <c r="E25" s="10">
        <f t="shared" si="7"/>
        <v>5</v>
      </c>
      <c r="F25" s="11">
        <f t="shared" si="8"/>
        <v>0</v>
      </c>
      <c r="G25" s="11">
        <f t="shared" si="8"/>
        <v>0</v>
      </c>
      <c r="H25" s="11">
        <f t="shared" si="8"/>
        <v>0</v>
      </c>
      <c r="I25" s="11">
        <f t="shared" si="8"/>
        <v>0</v>
      </c>
      <c r="J25" s="11">
        <f t="shared" si="8"/>
        <v>1</v>
      </c>
      <c r="K25" s="11">
        <f t="shared" si="8"/>
        <v>1</v>
      </c>
      <c r="L25" s="11">
        <f t="shared" si="8"/>
        <v>1</v>
      </c>
      <c r="M25" s="11">
        <f t="shared" si="8"/>
        <v>1</v>
      </c>
      <c r="N25" s="11">
        <f t="shared" si="8"/>
        <v>1</v>
      </c>
      <c r="O25" s="11">
        <f t="shared" si="8"/>
        <v>0</v>
      </c>
      <c r="P25" s="11">
        <f t="shared" si="9"/>
        <v>0</v>
      </c>
      <c r="Q25" s="11">
        <f t="shared" si="9"/>
        <v>0</v>
      </c>
      <c r="R25" s="23">
        <f t="shared" si="9"/>
        <v>0</v>
      </c>
      <c r="S25" s="11">
        <f t="shared" si="9"/>
        <v>0</v>
      </c>
      <c r="T25" s="11">
        <f t="shared" si="9"/>
        <v>0</v>
      </c>
      <c r="U25" s="11">
        <f t="shared" si="9"/>
        <v>0</v>
      </c>
      <c r="V25" s="11">
        <f t="shared" si="9"/>
        <v>0</v>
      </c>
      <c r="W25" s="11">
        <f t="shared" si="9"/>
        <v>0</v>
      </c>
      <c r="X25" s="11">
        <f t="shared" si="9"/>
        <v>0</v>
      </c>
      <c r="Y25" s="11">
        <f t="shared" si="9"/>
        <v>0</v>
      </c>
      <c r="Z25" s="11">
        <f t="shared" si="9"/>
        <v>0</v>
      </c>
      <c r="AA25" s="11">
        <f t="shared" si="9"/>
        <v>0</v>
      </c>
      <c r="AB25" s="11">
        <f t="shared" si="9"/>
        <v>0</v>
      </c>
      <c r="AC25" s="11">
        <f t="shared" si="9"/>
        <v>0</v>
      </c>
    </row>
    <row r="26" spans="1:29" ht="23" customHeight="1">
      <c r="A26" s="1" t="s">
        <v>44</v>
      </c>
      <c r="B26" s="1" t="s">
        <v>45</v>
      </c>
      <c r="C26" s="9">
        <v>5</v>
      </c>
      <c r="D26" s="9">
        <v>9</v>
      </c>
      <c r="E26" s="10">
        <f t="shared" si="7"/>
        <v>5</v>
      </c>
      <c r="F26" s="11">
        <f t="shared" si="8"/>
        <v>0</v>
      </c>
      <c r="G26" s="11">
        <f t="shared" si="8"/>
        <v>0</v>
      </c>
      <c r="H26" s="11">
        <f t="shared" si="8"/>
        <v>0</v>
      </c>
      <c r="I26" s="11">
        <f t="shared" si="8"/>
        <v>0</v>
      </c>
      <c r="J26" s="11">
        <f t="shared" si="8"/>
        <v>1</v>
      </c>
      <c r="K26" s="11">
        <f t="shared" si="8"/>
        <v>1</v>
      </c>
      <c r="L26" s="11">
        <f t="shared" si="8"/>
        <v>1</v>
      </c>
      <c r="M26" s="11">
        <f t="shared" si="8"/>
        <v>1</v>
      </c>
      <c r="N26" s="11">
        <f t="shared" si="8"/>
        <v>1</v>
      </c>
      <c r="O26" s="11">
        <f t="shared" si="8"/>
        <v>0</v>
      </c>
      <c r="P26" s="11">
        <f t="shared" si="9"/>
        <v>0</v>
      </c>
      <c r="Q26" s="11">
        <f t="shared" si="9"/>
        <v>0</v>
      </c>
      <c r="R26" s="23">
        <f t="shared" si="9"/>
        <v>0</v>
      </c>
      <c r="S26" s="11">
        <f t="shared" si="9"/>
        <v>0</v>
      </c>
      <c r="T26" s="11">
        <f t="shared" si="9"/>
        <v>0</v>
      </c>
      <c r="U26" s="11">
        <f t="shared" si="9"/>
        <v>0</v>
      </c>
      <c r="V26" s="11">
        <f t="shared" si="9"/>
        <v>0</v>
      </c>
      <c r="W26" s="11">
        <f t="shared" si="9"/>
        <v>0</v>
      </c>
      <c r="X26" s="11">
        <f t="shared" si="9"/>
        <v>0</v>
      </c>
      <c r="Y26" s="11">
        <f t="shared" si="9"/>
        <v>0</v>
      </c>
      <c r="Z26" s="11">
        <f t="shared" si="9"/>
        <v>0</v>
      </c>
      <c r="AA26" s="11">
        <f t="shared" si="9"/>
        <v>0</v>
      </c>
      <c r="AB26" s="11">
        <f t="shared" si="9"/>
        <v>0</v>
      </c>
      <c r="AC26" s="11">
        <f t="shared" si="9"/>
        <v>0</v>
      </c>
    </row>
    <row r="27" spans="1:29" ht="23" customHeight="1">
      <c r="A27" s="1" t="s">
        <v>46</v>
      </c>
      <c r="B27" s="1" t="s">
        <v>47</v>
      </c>
      <c r="C27" s="9">
        <v>3</v>
      </c>
      <c r="D27" s="9">
        <v>6</v>
      </c>
      <c r="E27" s="10">
        <f t="shared" si="7"/>
        <v>4</v>
      </c>
      <c r="F27" s="11">
        <f t="shared" si="8"/>
        <v>0</v>
      </c>
      <c r="G27" s="11">
        <f t="shared" si="8"/>
        <v>0</v>
      </c>
      <c r="H27" s="11">
        <f t="shared" si="8"/>
        <v>1</v>
      </c>
      <c r="I27" s="11">
        <f t="shared" si="8"/>
        <v>1</v>
      </c>
      <c r="J27" s="11">
        <f t="shared" si="8"/>
        <v>1</v>
      </c>
      <c r="K27" s="11">
        <f t="shared" si="8"/>
        <v>1</v>
      </c>
      <c r="L27" s="11">
        <f t="shared" si="8"/>
        <v>0</v>
      </c>
      <c r="M27" s="11">
        <f t="shared" si="8"/>
        <v>0</v>
      </c>
      <c r="N27" s="11">
        <f t="shared" si="8"/>
        <v>0</v>
      </c>
      <c r="O27" s="11">
        <f t="shared" si="8"/>
        <v>0</v>
      </c>
      <c r="P27" s="11">
        <f t="shared" si="9"/>
        <v>0</v>
      </c>
      <c r="Q27" s="11">
        <f t="shared" si="9"/>
        <v>0</v>
      </c>
      <c r="R27" s="23">
        <f t="shared" si="9"/>
        <v>0</v>
      </c>
      <c r="S27" s="11">
        <f t="shared" si="9"/>
        <v>0</v>
      </c>
      <c r="T27" s="11">
        <f t="shared" si="9"/>
        <v>0</v>
      </c>
      <c r="U27" s="11">
        <f t="shared" si="9"/>
        <v>0</v>
      </c>
      <c r="V27" s="11">
        <f t="shared" si="9"/>
        <v>0</v>
      </c>
      <c r="W27" s="11">
        <f t="shared" si="9"/>
        <v>0</v>
      </c>
      <c r="X27" s="11">
        <f t="shared" si="9"/>
        <v>0</v>
      </c>
      <c r="Y27" s="11">
        <f t="shared" si="9"/>
        <v>0</v>
      </c>
      <c r="Z27" s="11">
        <f t="shared" si="9"/>
        <v>0</v>
      </c>
      <c r="AA27" s="11">
        <f t="shared" si="9"/>
        <v>0</v>
      </c>
      <c r="AB27" s="11">
        <f t="shared" si="9"/>
        <v>0</v>
      </c>
      <c r="AC27" s="11">
        <f t="shared" si="9"/>
        <v>0</v>
      </c>
    </row>
    <row r="28" spans="1:29" ht="23" customHeight="1">
      <c r="A28" s="1" t="s">
        <v>48</v>
      </c>
      <c r="B28" s="1" t="s">
        <v>49</v>
      </c>
      <c r="C28" s="9">
        <v>5</v>
      </c>
      <c r="D28" s="9">
        <v>9</v>
      </c>
      <c r="E28" s="10">
        <f t="shared" si="7"/>
        <v>5</v>
      </c>
      <c r="F28" s="11">
        <f t="shared" si="8"/>
        <v>0</v>
      </c>
      <c r="G28" s="11">
        <f t="shared" si="8"/>
        <v>0</v>
      </c>
      <c r="H28" s="11">
        <f t="shared" si="8"/>
        <v>0</v>
      </c>
      <c r="I28" s="11">
        <f t="shared" si="8"/>
        <v>0</v>
      </c>
      <c r="J28" s="11">
        <f t="shared" si="8"/>
        <v>1</v>
      </c>
      <c r="K28" s="11">
        <f t="shared" si="8"/>
        <v>1</v>
      </c>
      <c r="L28" s="11">
        <f t="shared" si="8"/>
        <v>1</v>
      </c>
      <c r="M28" s="11">
        <f t="shared" si="8"/>
        <v>1</v>
      </c>
      <c r="N28" s="11">
        <f t="shared" si="8"/>
        <v>1</v>
      </c>
      <c r="O28" s="11">
        <f t="shared" si="8"/>
        <v>0</v>
      </c>
      <c r="P28" s="11">
        <f t="shared" si="9"/>
        <v>0</v>
      </c>
      <c r="Q28" s="11">
        <f t="shared" si="9"/>
        <v>0</v>
      </c>
      <c r="R28" s="23">
        <f t="shared" si="9"/>
        <v>0</v>
      </c>
      <c r="S28" s="11">
        <f t="shared" si="9"/>
        <v>0</v>
      </c>
      <c r="T28" s="11">
        <f t="shared" si="9"/>
        <v>0</v>
      </c>
      <c r="U28" s="11">
        <f t="shared" si="9"/>
        <v>0</v>
      </c>
      <c r="V28" s="11">
        <f t="shared" si="9"/>
        <v>0</v>
      </c>
      <c r="W28" s="11">
        <f t="shared" si="9"/>
        <v>0</v>
      </c>
      <c r="X28" s="11">
        <f t="shared" si="9"/>
        <v>0</v>
      </c>
      <c r="Y28" s="11">
        <f t="shared" si="9"/>
        <v>0</v>
      </c>
      <c r="Z28" s="11">
        <f t="shared" si="9"/>
        <v>0</v>
      </c>
      <c r="AA28" s="11">
        <f t="shared" si="9"/>
        <v>0</v>
      </c>
      <c r="AB28" s="11">
        <f t="shared" si="9"/>
        <v>0</v>
      </c>
      <c r="AC28" s="11">
        <f t="shared" si="9"/>
        <v>0</v>
      </c>
    </row>
    <row r="29" spans="1:29" ht="23" customHeight="1">
      <c r="A29" s="12" t="s">
        <v>50</v>
      </c>
      <c r="B29" s="12" t="s">
        <v>51</v>
      </c>
      <c r="C29" s="13">
        <v>9</v>
      </c>
      <c r="D29" s="13">
        <v>9</v>
      </c>
      <c r="E29" s="14">
        <f t="shared" si="7"/>
        <v>1</v>
      </c>
      <c r="F29" s="15" t="str">
        <f t="shared" ref="F29:AC29" si="10">IF(F$7=$C29,"◆","")</f>
        <v/>
      </c>
      <c r="G29" s="15" t="str">
        <f t="shared" si="10"/>
        <v/>
      </c>
      <c r="H29" s="15" t="str">
        <f t="shared" si="10"/>
        <v/>
      </c>
      <c r="I29" s="15" t="str">
        <f t="shared" si="10"/>
        <v/>
      </c>
      <c r="J29" s="15" t="str">
        <f t="shared" si="10"/>
        <v/>
      </c>
      <c r="K29" s="15" t="str">
        <f t="shared" si="10"/>
        <v/>
      </c>
      <c r="L29" s="15" t="str">
        <f t="shared" si="10"/>
        <v/>
      </c>
      <c r="M29" s="15" t="str">
        <f t="shared" si="10"/>
        <v/>
      </c>
      <c r="N29" s="15" t="str">
        <f t="shared" si="10"/>
        <v>◆</v>
      </c>
      <c r="O29" s="15" t="str">
        <f t="shared" si="10"/>
        <v/>
      </c>
      <c r="P29" s="15" t="str">
        <f t="shared" si="10"/>
        <v/>
      </c>
      <c r="Q29" s="15" t="str">
        <f t="shared" si="10"/>
        <v/>
      </c>
      <c r="R29" s="24" t="str">
        <f t="shared" si="10"/>
        <v/>
      </c>
      <c r="S29" s="15" t="str">
        <f t="shared" si="10"/>
        <v/>
      </c>
      <c r="T29" s="15" t="str">
        <f t="shared" si="10"/>
        <v/>
      </c>
      <c r="U29" s="15" t="str">
        <f t="shared" si="10"/>
        <v/>
      </c>
      <c r="V29" s="15" t="str">
        <f t="shared" si="10"/>
        <v/>
      </c>
      <c r="W29" s="15" t="str">
        <f t="shared" si="10"/>
        <v/>
      </c>
      <c r="X29" s="15" t="str">
        <f t="shared" si="10"/>
        <v/>
      </c>
      <c r="Y29" s="15" t="str">
        <f t="shared" si="10"/>
        <v/>
      </c>
      <c r="Z29" s="15" t="str">
        <f t="shared" si="10"/>
        <v/>
      </c>
      <c r="AA29" s="15" t="str">
        <f t="shared" si="10"/>
        <v/>
      </c>
      <c r="AB29" s="15" t="str">
        <f t="shared" si="10"/>
        <v/>
      </c>
      <c r="AC29" s="15" t="str">
        <f t="shared" si="10"/>
        <v/>
      </c>
    </row>
    <row r="30" spans="1:29" ht="23" customHeight="1">
      <c r="A30" s="18"/>
      <c r="B30" s="18" t="s">
        <v>52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27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spans="1:29" ht="23" customHeight="1">
      <c r="A31" s="1" t="s">
        <v>53</v>
      </c>
      <c r="B31" s="1" t="s">
        <v>54</v>
      </c>
      <c r="C31" s="9">
        <v>10</v>
      </c>
      <c r="D31" s="9">
        <v>18</v>
      </c>
      <c r="E31" s="10">
        <f t="shared" ref="E31:E37" si="11">D31-C31+1</f>
        <v>9</v>
      </c>
      <c r="F31" s="11">
        <f t="shared" ref="F31:O36" si="12">IF(AND(F$7&gt;=$C31,F$7&lt;=$D31),1,0)</f>
        <v>0</v>
      </c>
      <c r="G31" s="11">
        <f t="shared" si="12"/>
        <v>0</v>
      </c>
      <c r="H31" s="11">
        <f t="shared" si="12"/>
        <v>0</v>
      </c>
      <c r="I31" s="11">
        <f t="shared" si="12"/>
        <v>0</v>
      </c>
      <c r="J31" s="11">
        <f t="shared" si="12"/>
        <v>0</v>
      </c>
      <c r="K31" s="11">
        <f t="shared" si="12"/>
        <v>0</v>
      </c>
      <c r="L31" s="11">
        <f t="shared" si="12"/>
        <v>0</v>
      </c>
      <c r="M31" s="11">
        <f t="shared" si="12"/>
        <v>0</v>
      </c>
      <c r="N31" s="11">
        <f t="shared" si="12"/>
        <v>0</v>
      </c>
      <c r="O31" s="11">
        <f t="shared" si="12"/>
        <v>1</v>
      </c>
      <c r="P31" s="11">
        <f t="shared" ref="P31:AC36" si="13">IF(AND(P$7&gt;=$C31,P$7&lt;=$D31),1,0)</f>
        <v>1</v>
      </c>
      <c r="Q31" s="11">
        <f t="shared" si="13"/>
        <v>1</v>
      </c>
      <c r="R31" s="23">
        <f t="shared" si="13"/>
        <v>1</v>
      </c>
      <c r="S31" s="11">
        <f t="shared" si="13"/>
        <v>1</v>
      </c>
      <c r="T31" s="11">
        <f t="shared" si="13"/>
        <v>1</v>
      </c>
      <c r="U31" s="11">
        <f t="shared" si="13"/>
        <v>1</v>
      </c>
      <c r="V31" s="11">
        <f t="shared" si="13"/>
        <v>1</v>
      </c>
      <c r="W31" s="11">
        <f t="shared" si="13"/>
        <v>1</v>
      </c>
      <c r="X31" s="11">
        <f t="shared" si="13"/>
        <v>0</v>
      </c>
      <c r="Y31" s="11">
        <f t="shared" si="13"/>
        <v>0</v>
      </c>
      <c r="Z31" s="11">
        <f t="shared" si="13"/>
        <v>0</v>
      </c>
      <c r="AA31" s="11">
        <f t="shared" si="13"/>
        <v>0</v>
      </c>
      <c r="AB31" s="11">
        <f t="shared" si="13"/>
        <v>0</v>
      </c>
      <c r="AC31" s="11">
        <f t="shared" si="13"/>
        <v>0</v>
      </c>
    </row>
    <row r="32" spans="1:29" ht="23" customHeight="1">
      <c r="A32" s="1" t="s">
        <v>55</v>
      </c>
      <c r="B32" s="1" t="s">
        <v>56</v>
      </c>
      <c r="C32" s="9">
        <v>10</v>
      </c>
      <c r="D32" s="9">
        <v>18</v>
      </c>
      <c r="E32" s="10">
        <f t="shared" si="11"/>
        <v>9</v>
      </c>
      <c r="F32" s="11">
        <f t="shared" si="12"/>
        <v>0</v>
      </c>
      <c r="G32" s="11">
        <f t="shared" si="12"/>
        <v>0</v>
      </c>
      <c r="H32" s="11">
        <f t="shared" si="12"/>
        <v>0</v>
      </c>
      <c r="I32" s="11">
        <f t="shared" si="12"/>
        <v>0</v>
      </c>
      <c r="J32" s="11">
        <f t="shared" si="12"/>
        <v>0</v>
      </c>
      <c r="K32" s="11">
        <f t="shared" si="12"/>
        <v>0</v>
      </c>
      <c r="L32" s="11">
        <f t="shared" si="12"/>
        <v>0</v>
      </c>
      <c r="M32" s="11">
        <f t="shared" si="12"/>
        <v>0</v>
      </c>
      <c r="N32" s="11">
        <f t="shared" si="12"/>
        <v>0</v>
      </c>
      <c r="O32" s="11">
        <f t="shared" si="12"/>
        <v>1</v>
      </c>
      <c r="P32" s="11">
        <f t="shared" si="13"/>
        <v>1</v>
      </c>
      <c r="Q32" s="11">
        <f t="shared" si="13"/>
        <v>1</v>
      </c>
      <c r="R32" s="23">
        <f t="shared" si="13"/>
        <v>1</v>
      </c>
      <c r="S32" s="11">
        <f t="shared" si="13"/>
        <v>1</v>
      </c>
      <c r="T32" s="11">
        <f t="shared" si="13"/>
        <v>1</v>
      </c>
      <c r="U32" s="11">
        <f t="shared" si="13"/>
        <v>1</v>
      </c>
      <c r="V32" s="11">
        <f t="shared" si="13"/>
        <v>1</v>
      </c>
      <c r="W32" s="11">
        <f t="shared" si="13"/>
        <v>1</v>
      </c>
      <c r="X32" s="11">
        <f t="shared" si="13"/>
        <v>0</v>
      </c>
      <c r="Y32" s="11">
        <f t="shared" si="13"/>
        <v>0</v>
      </c>
      <c r="Z32" s="11">
        <f t="shared" si="13"/>
        <v>0</v>
      </c>
      <c r="AA32" s="11">
        <f t="shared" si="13"/>
        <v>0</v>
      </c>
      <c r="AB32" s="11">
        <f t="shared" si="13"/>
        <v>0</v>
      </c>
      <c r="AC32" s="11">
        <f t="shared" si="13"/>
        <v>0</v>
      </c>
    </row>
    <row r="33" spans="1:29" ht="23" customHeight="1">
      <c r="A33" s="1" t="s">
        <v>57</v>
      </c>
      <c r="B33" s="1" t="s">
        <v>58</v>
      </c>
      <c r="C33" s="9">
        <v>10</v>
      </c>
      <c r="D33" s="9">
        <v>18</v>
      </c>
      <c r="E33" s="10">
        <f t="shared" si="11"/>
        <v>9</v>
      </c>
      <c r="F33" s="11">
        <f t="shared" si="12"/>
        <v>0</v>
      </c>
      <c r="G33" s="11">
        <f t="shared" si="12"/>
        <v>0</v>
      </c>
      <c r="H33" s="11">
        <f t="shared" si="12"/>
        <v>0</v>
      </c>
      <c r="I33" s="11">
        <f t="shared" si="12"/>
        <v>0</v>
      </c>
      <c r="J33" s="11">
        <f t="shared" si="12"/>
        <v>0</v>
      </c>
      <c r="K33" s="11">
        <f t="shared" si="12"/>
        <v>0</v>
      </c>
      <c r="L33" s="11">
        <f t="shared" si="12"/>
        <v>0</v>
      </c>
      <c r="M33" s="11">
        <f t="shared" si="12"/>
        <v>0</v>
      </c>
      <c r="N33" s="11">
        <f t="shared" si="12"/>
        <v>0</v>
      </c>
      <c r="O33" s="11">
        <f t="shared" si="12"/>
        <v>1</v>
      </c>
      <c r="P33" s="11">
        <f t="shared" si="13"/>
        <v>1</v>
      </c>
      <c r="Q33" s="11">
        <f t="shared" si="13"/>
        <v>1</v>
      </c>
      <c r="R33" s="23">
        <f t="shared" si="13"/>
        <v>1</v>
      </c>
      <c r="S33" s="11">
        <f t="shared" si="13"/>
        <v>1</v>
      </c>
      <c r="T33" s="11">
        <f t="shared" si="13"/>
        <v>1</v>
      </c>
      <c r="U33" s="11">
        <f t="shared" si="13"/>
        <v>1</v>
      </c>
      <c r="V33" s="11">
        <f t="shared" si="13"/>
        <v>1</v>
      </c>
      <c r="W33" s="11">
        <f t="shared" si="13"/>
        <v>1</v>
      </c>
      <c r="X33" s="11">
        <f t="shared" si="13"/>
        <v>0</v>
      </c>
      <c r="Y33" s="11">
        <f t="shared" si="13"/>
        <v>0</v>
      </c>
      <c r="Z33" s="11">
        <f t="shared" si="13"/>
        <v>0</v>
      </c>
      <c r="AA33" s="11">
        <f t="shared" si="13"/>
        <v>0</v>
      </c>
      <c r="AB33" s="11">
        <f t="shared" si="13"/>
        <v>0</v>
      </c>
      <c r="AC33" s="11">
        <f t="shared" si="13"/>
        <v>0</v>
      </c>
    </row>
    <row r="34" spans="1:29" ht="23" customHeight="1">
      <c r="A34" s="1" t="s">
        <v>59</v>
      </c>
      <c r="B34" s="1" t="s">
        <v>60</v>
      </c>
      <c r="C34" s="9">
        <v>10</v>
      </c>
      <c r="D34" s="9">
        <v>18</v>
      </c>
      <c r="E34" s="10">
        <f t="shared" si="11"/>
        <v>9</v>
      </c>
      <c r="F34" s="11">
        <f t="shared" si="12"/>
        <v>0</v>
      </c>
      <c r="G34" s="11">
        <f t="shared" si="12"/>
        <v>0</v>
      </c>
      <c r="H34" s="11">
        <f t="shared" si="12"/>
        <v>0</v>
      </c>
      <c r="I34" s="11">
        <f t="shared" si="12"/>
        <v>0</v>
      </c>
      <c r="J34" s="11">
        <f t="shared" si="12"/>
        <v>0</v>
      </c>
      <c r="K34" s="11">
        <f t="shared" si="12"/>
        <v>0</v>
      </c>
      <c r="L34" s="11">
        <f t="shared" si="12"/>
        <v>0</v>
      </c>
      <c r="M34" s="11">
        <f t="shared" si="12"/>
        <v>0</v>
      </c>
      <c r="N34" s="11">
        <f t="shared" si="12"/>
        <v>0</v>
      </c>
      <c r="O34" s="11">
        <f t="shared" si="12"/>
        <v>1</v>
      </c>
      <c r="P34" s="11">
        <f t="shared" si="13"/>
        <v>1</v>
      </c>
      <c r="Q34" s="11">
        <f t="shared" si="13"/>
        <v>1</v>
      </c>
      <c r="R34" s="23">
        <f t="shared" si="13"/>
        <v>1</v>
      </c>
      <c r="S34" s="11">
        <f t="shared" si="13"/>
        <v>1</v>
      </c>
      <c r="T34" s="11">
        <f t="shared" si="13"/>
        <v>1</v>
      </c>
      <c r="U34" s="11">
        <f t="shared" si="13"/>
        <v>1</v>
      </c>
      <c r="V34" s="11">
        <f t="shared" si="13"/>
        <v>1</v>
      </c>
      <c r="W34" s="11">
        <f t="shared" si="13"/>
        <v>1</v>
      </c>
      <c r="X34" s="11">
        <f t="shared" si="13"/>
        <v>0</v>
      </c>
      <c r="Y34" s="11">
        <f t="shared" si="13"/>
        <v>0</v>
      </c>
      <c r="Z34" s="11">
        <f t="shared" si="13"/>
        <v>0</v>
      </c>
      <c r="AA34" s="11">
        <f t="shared" si="13"/>
        <v>0</v>
      </c>
      <c r="AB34" s="11">
        <f t="shared" si="13"/>
        <v>0</v>
      </c>
      <c r="AC34" s="11">
        <f t="shared" si="13"/>
        <v>0</v>
      </c>
    </row>
    <row r="35" spans="1:29" ht="23" customHeight="1">
      <c r="A35" s="1" t="s">
        <v>61</v>
      </c>
      <c r="B35" s="1" t="s">
        <v>62</v>
      </c>
      <c r="C35" s="9">
        <v>10</v>
      </c>
      <c r="D35" s="9">
        <v>18</v>
      </c>
      <c r="E35" s="10">
        <f t="shared" si="11"/>
        <v>9</v>
      </c>
      <c r="F35" s="11">
        <f t="shared" si="12"/>
        <v>0</v>
      </c>
      <c r="G35" s="11">
        <f t="shared" si="12"/>
        <v>0</v>
      </c>
      <c r="H35" s="11">
        <f t="shared" si="12"/>
        <v>0</v>
      </c>
      <c r="I35" s="11">
        <f t="shared" si="12"/>
        <v>0</v>
      </c>
      <c r="J35" s="11">
        <f t="shared" si="12"/>
        <v>0</v>
      </c>
      <c r="K35" s="11">
        <f t="shared" si="12"/>
        <v>0</v>
      </c>
      <c r="L35" s="11">
        <f t="shared" si="12"/>
        <v>0</v>
      </c>
      <c r="M35" s="11">
        <f t="shared" si="12"/>
        <v>0</v>
      </c>
      <c r="N35" s="11">
        <f t="shared" si="12"/>
        <v>0</v>
      </c>
      <c r="O35" s="11">
        <f t="shared" si="12"/>
        <v>1</v>
      </c>
      <c r="P35" s="11">
        <f t="shared" si="13"/>
        <v>1</v>
      </c>
      <c r="Q35" s="11">
        <f t="shared" si="13"/>
        <v>1</v>
      </c>
      <c r="R35" s="23">
        <f t="shared" si="13"/>
        <v>1</v>
      </c>
      <c r="S35" s="11">
        <f t="shared" si="13"/>
        <v>1</v>
      </c>
      <c r="T35" s="11">
        <f t="shared" si="13"/>
        <v>1</v>
      </c>
      <c r="U35" s="11">
        <f t="shared" si="13"/>
        <v>1</v>
      </c>
      <c r="V35" s="11">
        <f t="shared" si="13"/>
        <v>1</v>
      </c>
      <c r="W35" s="11">
        <f t="shared" si="13"/>
        <v>1</v>
      </c>
      <c r="X35" s="11">
        <f t="shared" si="13"/>
        <v>0</v>
      </c>
      <c r="Y35" s="11">
        <f t="shared" si="13"/>
        <v>0</v>
      </c>
      <c r="Z35" s="11">
        <f t="shared" si="13"/>
        <v>0</v>
      </c>
      <c r="AA35" s="11">
        <f t="shared" si="13"/>
        <v>0</v>
      </c>
      <c r="AB35" s="11">
        <f t="shared" si="13"/>
        <v>0</v>
      </c>
      <c r="AC35" s="11">
        <f t="shared" si="13"/>
        <v>0</v>
      </c>
    </row>
    <row r="36" spans="1:29" ht="23" customHeight="1">
      <c r="A36" s="1" t="s">
        <v>63</v>
      </c>
      <c r="B36" s="1" t="s">
        <v>64</v>
      </c>
      <c r="C36" s="9">
        <v>13</v>
      </c>
      <c r="D36" s="9">
        <v>24</v>
      </c>
      <c r="E36" s="10">
        <f t="shared" si="11"/>
        <v>12</v>
      </c>
      <c r="F36" s="11">
        <f t="shared" si="12"/>
        <v>0</v>
      </c>
      <c r="G36" s="11">
        <f t="shared" si="12"/>
        <v>0</v>
      </c>
      <c r="H36" s="11">
        <f t="shared" si="12"/>
        <v>0</v>
      </c>
      <c r="I36" s="11">
        <f t="shared" si="12"/>
        <v>0</v>
      </c>
      <c r="J36" s="11">
        <f t="shared" si="12"/>
        <v>0</v>
      </c>
      <c r="K36" s="11">
        <f t="shared" si="12"/>
        <v>0</v>
      </c>
      <c r="L36" s="11">
        <f t="shared" si="12"/>
        <v>0</v>
      </c>
      <c r="M36" s="11">
        <f t="shared" si="12"/>
        <v>0</v>
      </c>
      <c r="N36" s="11">
        <f t="shared" si="12"/>
        <v>0</v>
      </c>
      <c r="O36" s="11">
        <f t="shared" si="12"/>
        <v>0</v>
      </c>
      <c r="P36" s="11">
        <f t="shared" si="13"/>
        <v>0</v>
      </c>
      <c r="Q36" s="11">
        <f t="shared" si="13"/>
        <v>0</v>
      </c>
      <c r="R36" s="23">
        <f t="shared" si="13"/>
        <v>1</v>
      </c>
      <c r="S36" s="11">
        <f t="shared" si="13"/>
        <v>1</v>
      </c>
      <c r="T36" s="11">
        <f t="shared" si="13"/>
        <v>1</v>
      </c>
      <c r="U36" s="11">
        <f t="shared" si="13"/>
        <v>1</v>
      </c>
      <c r="V36" s="11">
        <f t="shared" si="13"/>
        <v>1</v>
      </c>
      <c r="W36" s="11">
        <f t="shared" si="13"/>
        <v>1</v>
      </c>
      <c r="X36" s="11">
        <f t="shared" si="13"/>
        <v>1</v>
      </c>
      <c r="Y36" s="11">
        <f t="shared" si="13"/>
        <v>1</v>
      </c>
      <c r="Z36" s="11">
        <f t="shared" si="13"/>
        <v>1</v>
      </c>
      <c r="AA36" s="11">
        <f t="shared" si="13"/>
        <v>1</v>
      </c>
      <c r="AB36" s="11">
        <f t="shared" si="13"/>
        <v>1</v>
      </c>
      <c r="AC36" s="11">
        <f t="shared" si="13"/>
        <v>1</v>
      </c>
    </row>
    <row r="37" spans="1:29" ht="23" customHeight="1">
      <c r="A37" s="12" t="s">
        <v>65</v>
      </c>
      <c r="B37" s="12" t="s">
        <v>66</v>
      </c>
      <c r="C37" s="13">
        <v>18</v>
      </c>
      <c r="D37" s="13">
        <v>18</v>
      </c>
      <c r="E37" s="14">
        <f t="shared" si="11"/>
        <v>1</v>
      </c>
      <c r="F37" s="15" t="str">
        <f t="shared" ref="F37:AC37" si="14">IF(F$7=$C37,"◆","")</f>
        <v/>
      </c>
      <c r="G37" s="15" t="str">
        <f t="shared" si="14"/>
        <v/>
      </c>
      <c r="H37" s="15" t="str">
        <f t="shared" si="14"/>
        <v/>
      </c>
      <c r="I37" s="15" t="str">
        <f t="shared" si="14"/>
        <v/>
      </c>
      <c r="J37" s="15" t="str">
        <f t="shared" si="14"/>
        <v/>
      </c>
      <c r="K37" s="15" t="str">
        <f t="shared" si="14"/>
        <v/>
      </c>
      <c r="L37" s="15" t="str">
        <f t="shared" si="14"/>
        <v/>
      </c>
      <c r="M37" s="15" t="str">
        <f t="shared" si="14"/>
        <v/>
      </c>
      <c r="N37" s="15" t="str">
        <f t="shared" si="14"/>
        <v/>
      </c>
      <c r="O37" s="15" t="str">
        <f t="shared" si="14"/>
        <v/>
      </c>
      <c r="P37" s="15" t="str">
        <f t="shared" si="14"/>
        <v/>
      </c>
      <c r="Q37" s="15" t="str">
        <f t="shared" si="14"/>
        <v/>
      </c>
      <c r="R37" s="24" t="str">
        <f t="shared" si="14"/>
        <v/>
      </c>
      <c r="S37" s="15" t="str">
        <f t="shared" si="14"/>
        <v/>
      </c>
      <c r="T37" s="15" t="str">
        <f t="shared" si="14"/>
        <v/>
      </c>
      <c r="U37" s="15" t="str">
        <f t="shared" si="14"/>
        <v/>
      </c>
      <c r="V37" s="15" t="str">
        <f t="shared" si="14"/>
        <v/>
      </c>
      <c r="W37" s="15" t="str">
        <f t="shared" si="14"/>
        <v>◆</v>
      </c>
      <c r="X37" s="15" t="str">
        <f t="shared" si="14"/>
        <v/>
      </c>
      <c r="Y37" s="15" t="str">
        <f t="shared" si="14"/>
        <v/>
      </c>
      <c r="Z37" s="15" t="str">
        <f t="shared" si="14"/>
        <v/>
      </c>
      <c r="AA37" s="15" t="str">
        <f t="shared" si="14"/>
        <v/>
      </c>
      <c r="AB37" s="15" t="str">
        <f t="shared" si="14"/>
        <v/>
      </c>
      <c r="AC37" s="15" t="str">
        <f t="shared" si="14"/>
        <v/>
      </c>
    </row>
    <row r="38" spans="1:29" ht="23" customHeight="1">
      <c r="A38" s="19"/>
      <c r="B38" s="19" t="s">
        <v>67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28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</row>
    <row r="39" spans="1:29" ht="23" customHeight="1">
      <c r="A39" s="1" t="s">
        <v>68</v>
      </c>
      <c r="B39" s="1" t="s">
        <v>69</v>
      </c>
      <c r="C39" s="9">
        <v>19</v>
      </c>
      <c r="D39" s="9">
        <v>24</v>
      </c>
      <c r="E39" s="10">
        <f>D39-C39+1</f>
        <v>6</v>
      </c>
      <c r="F39" s="11">
        <f t="shared" ref="F39:O42" si="15">IF(AND(F$7&gt;=$C39,F$7&lt;=$D39),1,0)</f>
        <v>0</v>
      </c>
      <c r="G39" s="11">
        <f t="shared" si="15"/>
        <v>0</v>
      </c>
      <c r="H39" s="11">
        <f t="shared" si="15"/>
        <v>0</v>
      </c>
      <c r="I39" s="11">
        <f t="shared" si="15"/>
        <v>0</v>
      </c>
      <c r="J39" s="11">
        <f t="shared" si="15"/>
        <v>0</v>
      </c>
      <c r="K39" s="11">
        <f t="shared" si="15"/>
        <v>0</v>
      </c>
      <c r="L39" s="11">
        <f t="shared" si="15"/>
        <v>0</v>
      </c>
      <c r="M39" s="11">
        <f t="shared" si="15"/>
        <v>0</v>
      </c>
      <c r="N39" s="11">
        <f t="shared" si="15"/>
        <v>0</v>
      </c>
      <c r="O39" s="11">
        <f t="shared" si="15"/>
        <v>0</v>
      </c>
      <c r="P39" s="11">
        <f t="shared" ref="P39:AC42" si="16">IF(AND(P$7&gt;=$C39,P$7&lt;=$D39),1,0)</f>
        <v>0</v>
      </c>
      <c r="Q39" s="11">
        <f t="shared" si="16"/>
        <v>0</v>
      </c>
      <c r="R39" s="23">
        <f t="shared" si="16"/>
        <v>0</v>
      </c>
      <c r="S39" s="11">
        <f t="shared" si="16"/>
        <v>0</v>
      </c>
      <c r="T39" s="11">
        <f t="shared" si="16"/>
        <v>0</v>
      </c>
      <c r="U39" s="11">
        <f t="shared" si="16"/>
        <v>0</v>
      </c>
      <c r="V39" s="11">
        <f t="shared" si="16"/>
        <v>0</v>
      </c>
      <c r="W39" s="11">
        <f t="shared" si="16"/>
        <v>0</v>
      </c>
      <c r="X39" s="11">
        <f t="shared" si="16"/>
        <v>1</v>
      </c>
      <c r="Y39" s="11">
        <f t="shared" si="16"/>
        <v>1</v>
      </c>
      <c r="Z39" s="11">
        <f t="shared" si="16"/>
        <v>1</v>
      </c>
      <c r="AA39" s="11">
        <f t="shared" si="16"/>
        <v>1</v>
      </c>
      <c r="AB39" s="11">
        <f t="shared" si="16"/>
        <v>1</v>
      </c>
      <c r="AC39" s="11">
        <f t="shared" si="16"/>
        <v>1</v>
      </c>
    </row>
    <row r="40" spans="1:29" ht="23" customHeight="1">
      <c r="A40" s="1" t="s">
        <v>70</v>
      </c>
      <c r="B40" s="1" t="s">
        <v>71</v>
      </c>
      <c r="C40" s="9">
        <v>19</v>
      </c>
      <c r="D40" s="9">
        <v>24</v>
      </c>
      <c r="E40" s="10">
        <f>D40-C40+1</f>
        <v>6</v>
      </c>
      <c r="F40" s="11">
        <f t="shared" si="15"/>
        <v>0</v>
      </c>
      <c r="G40" s="11">
        <f t="shared" si="15"/>
        <v>0</v>
      </c>
      <c r="H40" s="11">
        <f t="shared" si="15"/>
        <v>0</v>
      </c>
      <c r="I40" s="11">
        <f t="shared" si="15"/>
        <v>0</v>
      </c>
      <c r="J40" s="11">
        <f t="shared" si="15"/>
        <v>0</v>
      </c>
      <c r="K40" s="11">
        <f t="shared" si="15"/>
        <v>0</v>
      </c>
      <c r="L40" s="11">
        <f t="shared" si="15"/>
        <v>0</v>
      </c>
      <c r="M40" s="11">
        <f t="shared" si="15"/>
        <v>0</v>
      </c>
      <c r="N40" s="11">
        <f t="shared" si="15"/>
        <v>0</v>
      </c>
      <c r="O40" s="11">
        <f t="shared" si="15"/>
        <v>0</v>
      </c>
      <c r="P40" s="11">
        <f t="shared" si="16"/>
        <v>0</v>
      </c>
      <c r="Q40" s="11">
        <f t="shared" si="16"/>
        <v>0</v>
      </c>
      <c r="R40" s="23">
        <f t="shared" si="16"/>
        <v>0</v>
      </c>
      <c r="S40" s="11">
        <f t="shared" si="16"/>
        <v>0</v>
      </c>
      <c r="T40" s="11">
        <f t="shared" si="16"/>
        <v>0</v>
      </c>
      <c r="U40" s="11">
        <f t="shared" si="16"/>
        <v>0</v>
      </c>
      <c r="V40" s="11">
        <f t="shared" si="16"/>
        <v>0</v>
      </c>
      <c r="W40" s="11">
        <f t="shared" si="16"/>
        <v>0</v>
      </c>
      <c r="X40" s="11">
        <f t="shared" si="16"/>
        <v>1</v>
      </c>
      <c r="Y40" s="11">
        <f t="shared" si="16"/>
        <v>1</v>
      </c>
      <c r="Z40" s="11">
        <f t="shared" si="16"/>
        <v>1</v>
      </c>
      <c r="AA40" s="11">
        <f t="shared" si="16"/>
        <v>1</v>
      </c>
      <c r="AB40" s="11">
        <f t="shared" si="16"/>
        <v>1</v>
      </c>
      <c r="AC40" s="11">
        <f t="shared" si="16"/>
        <v>1</v>
      </c>
    </row>
    <row r="41" spans="1:29" ht="23" customHeight="1">
      <c r="A41" s="1" t="s">
        <v>72</v>
      </c>
      <c r="B41" s="1" t="s">
        <v>73</v>
      </c>
      <c r="C41" s="9">
        <v>22</v>
      </c>
      <c r="D41" s="9">
        <v>24</v>
      </c>
      <c r="E41" s="10">
        <f>D41-C41+1</f>
        <v>3</v>
      </c>
      <c r="F41" s="11">
        <f t="shared" si="15"/>
        <v>0</v>
      </c>
      <c r="G41" s="11">
        <f t="shared" si="15"/>
        <v>0</v>
      </c>
      <c r="H41" s="11">
        <f t="shared" si="15"/>
        <v>0</v>
      </c>
      <c r="I41" s="11">
        <f t="shared" si="15"/>
        <v>0</v>
      </c>
      <c r="J41" s="11">
        <f t="shared" si="15"/>
        <v>0</v>
      </c>
      <c r="K41" s="11">
        <f t="shared" si="15"/>
        <v>0</v>
      </c>
      <c r="L41" s="11">
        <f t="shared" si="15"/>
        <v>0</v>
      </c>
      <c r="M41" s="11">
        <f t="shared" si="15"/>
        <v>0</v>
      </c>
      <c r="N41" s="11">
        <f t="shared" si="15"/>
        <v>0</v>
      </c>
      <c r="O41" s="11">
        <f t="shared" si="15"/>
        <v>0</v>
      </c>
      <c r="P41" s="11">
        <f t="shared" si="16"/>
        <v>0</v>
      </c>
      <c r="Q41" s="11">
        <f t="shared" si="16"/>
        <v>0</v>
      </c>
      <c r="R41" s="23">
        <f t="shared" si="16"/>
        <v>0</v>
      </c>
      <c r="S41" s="11">
        <f t="shared" si="16"/>
        <v>0</v>
      </c>
      <c r="T41" s="11">
        <f t="shared" si="16"/>
        <v>0</v>
      </c>
      <c r="U41" s="11">
        <f t="shared" si="16"/>
        <v>0</v>
      </c>
      <c r="V41" s="11">
        <f t="shared" si="16"/>
        <v>0</v>
      </c>
      <c r="W41" s="11">
        <f t="shared" si="16"/>
        <v>0</v>
      </c>
      <c r="X41" s="11">
        <f t="shared" si="16"/>
        <v>0</v>
      </c>
      <c r="Y41" s="11">
        <f t="shared" si="16"/>
        <v>0</v>
      </c>
      <c r="Z41" s="11">
        <f t="shared" si="16"/>
        <v>0</v>
      </c>
      <c r="AA41" s="11">
        <f t="shared" si="16"/>
        <v>1</v>
      </c>
      <c r="AB41" s="11">
        <f t="shared" si="16"/>
        <v>1</v>
      </c>
      <c r="AC41" s="11">
        <f t="shared" si="16"/>
        <v>1</v>
      </c>
    </row>
    <row r="42" spans="1:29" ht="23" customHeight="1">
      <c r="A42" s="1" t="s">
        <v>74</v>
      </c>
      <c r="B42" s="1" t="s">
        <v>75</v>
      </c>
      <c r="C42" s="9">
        <v>23</v>
      </c>
      <c r="D42" s="9">
        <v>24</v>
      </c>
      <c r="E42" s="10">
        <f>D42-C42+1</f>
        <v>2</v>
      </c>
      <c r="F42" s="11">
        <f t="shared" si="15"/>
        <v>0</v>
      </c>
      <c r="G42" s="11">
        <f t="shared" si="15"/>
        <v>0</v>
      </c>
      <c r="H42" s="11">
        <f t="shared" si="15"/>
        <v>0</v>
      </c>
      <c r="I42" s="11">
        <f t="shared" si="15"/>
        <v>0</v>
      </c>
      <c r="J42" s="11">
        <f t="shared" si="15"/>
        <v>0</v>
      </c>
      <c r="K42" s="11">
        <f t="shared" si="15"/>
        <v>0</v>
      </c>
      <c r="L42" s="11">
        <f t="shared" si="15"/>
        <v>0</v>
      </c>
      <c r="M42" s="11">
        <f t="shared" si="15"/>
        <v>0</v>
      </c>
      <c r="N42" s="11">
        <f t="shared" si="15"/>
        <v>0</v>
      </c>
      <c r="O42" s="11">
        <f t="shared" si="15"/>
        <v>0</v>
      </c>
      <c r="P42" s="11">
        <f t="shared" si="16"/>
        <v>0</v>
      </c>
      <c r="Q42" s="11">
        <f t="shared" si="16"/>
        <v>0</v>
      </c>
      <c r="R42" s="23">
        <f t="shared" si="16"/>
        <v>0</v>
      </c>
      <c r="S42" s="11">
        <f t="shared" si="16"/>
        <v>0</v>
      </c>
      <c r="T42" s="11">
        <f t="shared" si="16"/>
        <v>0</v>
      </c>
      <c r="U42" s="11">
        <f t="shared" si="16"/>
        <v>0</v>
      </c>
      <c r="V42" s="11">
        <f t="shared" si="16"/>
        <v>0</v>
      </c>
      <c r="W42" s="11">
        <f t="shared" si="16"/>
        <v>0</v>
      </c>
      <c r="X42" s="11">
        <f t="shared" si="16"/>
        <v>0</v>
      </c>
      <c r="Y42" s="11">
        <f t="shared" si="16"/>
        <v>0</v>
      </c>
      <c r="Z42" s="11">
        <f t="shared" si="16"/>
        <v>0</v>
      </c>
      <c r="AA42" s="11">
        <f t="shared" si="16"/>
        <v>0</v>
      </c>
      <c r="AB42" s="11">
        <f t="shared" si="16"/>
        <v>1</v>
      </c>
      <c r="AC42" s="11">
        <f t="shared" si="16"/>
        <v>1</v>
      </c>
    </row>
    <row r="43" spans="1:29" ht="23" customHeight="1">
      <c r="A43" s="12" t="s">
        <v>76</v>
      </c>
      <c r="B43" s="12" t="s">
        <v>77</v>
      </c>
      <c r="C43" s="13">
        <v>24</v>
      </c>
      <c r="D43" s="13">
        <v>24</v>
      </c>
      <c r="E43" s="14">
        <f>D43-C43+1</f>
        <v>1</v>
      </c>
      <c r="F43" s="15" t="str">
        <f t="shared" ref="F43:AC43" si="17">IF(F$7=$C43,"◆","")</f>
        <v/>
      </c>
      <c r="G43" s="15" t="str">
        <f t="shared" si="17"/>
        <v/>
      </c>
      <c r="H43" s="15" t="str">
        <f t="shared" si="17"/>
        <v/>
      </c>
      <c r="I43" s="15" t="str">
        <f t="shared" si="17"/>
        <v/>
      </c>
      <c r="J43" s="15" t="str">
        <f t="shared" si="17"/>
        <v/>
      </c>
      <c r="K43" s="15" t="str">
        <f t="shared" si="17"/>
        <v/>
      </c>
      <c r="L43" s="15" t="str">
        <f t="shared" si="17"/>
        <v/>
      </c>
      <c r="M43" s="15" t="str">
        <f t="shared" si="17"/>
        <v/>
      </c>
      <c r="N43" s="15" t="str">
        <f t="shared" si="17"/>
        <v/>
      </c>
      <c r="O43" s="15" t="str">
        <f t="shared" si="17"/>
        <v/>
      </c>
      <c r="P43" s="15" t="str">
        <f t="shared" si="17"/>
        <v/>
      </c>
      <c r="Q43" s="15" t="str">
        <f t="shared" si="17"/>
        <v/>
      </c>
      <c r="R43" s="24" t="str">
        <f t="shared" si="17"/>
        <v/>
      </c>
      <c r="S43" s="15" t="str">
        <f t="shared" si="17"/>
        <v/>
      </c>
      <c r="T43" s="15" t="str">
        <f t="shared" si="17"/>
        <v/>
      </c>
      <c r="U43" s="15" t="str">
        <f t="shared" si="17"/>
        <v/>
      </c>
      <c r="V43" s="15" t="str">
        <f t="shared" si="17"/>
        <v/>
      </c>
      <c r="W43" s="15" t="str">
        <f t="shared" si="17"/>
        <v/>
      </c>
      <c r="X43" s="15" t="str">
        <f t="shared" si="17"/>
        <v/>
      </c>
      <c r="Y43" s="15" t="str">
        <f t="shared" si="17"/>
        <v/>
      </c>
      <c r="Z43" s="15" t="str">
        <f t="shared" si="17"/>
        <v/>
      </c>
      <c r="AA43" s="15" t="str">
        <f t="shared" si="17"/>
        <v/>
      </c>
      <c r="AB43" s="15" t="str">
        <f t="shared" si="17"/>
        <v/>
      </c>
      <c r="AC43" s="15" t="str">
        <f t="shared" si="17"/>
        <v>◆</v>
      </c>
    </row>
    <row r="44" spans="1:29" ht="23" customHeight="1">
      <c r="A44" s="20"/>
      <c r="B44" s="20" t="s">
        <v>78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9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spans="1:29" ht="23" customHeight="1">
      <c r="A45" s="1" t="s">
        <v>79</v>
      </c>
      <c r="B45" s="1" t="s">
        <v>80</v>
      </c>
      <c r="C45" s="9">
        <v>1</v>
      </c>
      <c r="D45" s="9">
        <v>24</v>
      </c>
      <c r="E45" s="10">
        <f>D45-C45+1</f>
        <v>24</v>
      </c>
      <c r="F45" s="11">
        <f t="shared" ref="F45:O47" si="18">IF(AND(F$7&gt;=$C45,F$7&lt;=$D45),1,0)</f>
        <v>1</v>
      </c>
      <c r="G45" s="11">
        <f t="shared" si="18"/>
        <v>1</v>
      </c>
      <c r="H45" s="11">
        <f t="shared" si="18"/>
        <v>1</v>
      </c>
      <c r="I45" s="11">
        <f t="shared" si="18"/>
        <v>1</v>
      </c>
      <c r="J45" s="11">
        <f t="shared" si="18"/>
        <v>1</v>
      </c>
      <c r="K45" s="11">
        <f t="shared" si="18"/>
        <v>1</v>
      </c>
      <c r="L45" s="11">
        <f t="shared" si="18"/>
        <v>1</v>
      </c>
      <c r="M45" s="11">
        <f t="shared" si="18"/>
        <v>1</v>
      </c>
      <c r="N45" s="11">
        <f t="shared" si="18"/>
        <v>1</v>
      </c>
      <c r="O45" s="11">
        <f t="shared" si="18"/>
        <v>1</v>
      </c>
      <c r="P45" s="11">
        <f t="shared" ref="P45:AC47" si="19">IF(AND(P$7&gt;=$C45,P$7&lt;=$D45),1,0)</f>
        <v>1</v>
      </c>
      <c r="Q45" s="11">
        <f t="shared" si="19"/>
        <v>1</v>
      </c>
      <c r="R45" s="23">
        <f t="shared" si="19"/>
        <v>1</v>
      </c>
      <c r="S45" s="11">
        <f t="shared" si="19"/>
        <v>1</v>
      </c>
      <c r="T45" s="11">
        <f t="shared" si="19"/>
        <v>1</v>
      </c>
      <c r="U45" s="11">
        <f t="shared" si="19"/>
        <v>1</v>
      </c>
      <c r="V45" s="11">
        <f t="shared" si="19"/>
        <v>1</v>
      </c>
      <c r="W45" s="11">
        <f t="shared" si="19"/>
        <v>1</v>
      </c>
      <c r="X45" s="11">
        <f t="shared" si="19"/>
        <v>1</v>
      </c>
      <c r="Y45" s="11">
        <f t="shared" si="19"/>
        <v>1</v>
      </c>
      <c r="Z45" s="11">
        <f t="shared" si="19"/>
        <v>1</v>
      </c>
      <c r="AA45" s="11">
        <f t="shared" si="19"/>
        <v>1</v>
      </c>
      <c r="AB45" s="11">
        <f t="shared" si="19"/>
        <v>1</v>
      </c>
      <c r="AC45" s="11">
        <f t="shared" si="19"/>
        <v>1</v>
      </c>
    </row>
    <row r="46" spans="1:29" ht="23" customHeight="1">
      <c r="A46" s="1" t="s">
        <v>81</v>
      </c>
      <c r="B46" s="1" t="s">
        <v>82</v>
      </c>
      <c r="C46" s="9">
        <v>2</v>
      </c>
      <c r="D46" s="9">
        <v>24</v>
      </c>
      <c r="E46" s="10">
        <f>D46-C46+1</f>
        <v>23</v>
      </c>
      <c r="F46" s="11">
        <f t="shared" si="18"/>
        <v>0</v>
      </c>
      <c r="G46" s="11">
        <f t="shared" si="18"/>
        <v>1</v>
      </c>
      <c r="H46" s="11">
        <f t="shared" si="18"/>
        <v>1</v>
      </c>
      <c r="I46" s="11">
        <f t="shared" si="18"/>
        <v>1</v>
      </c>
      <c r="J46" s="11">
        <f t="shared" si="18"/>
        <v>1</v>
      </c>
      <c r="K46" s="11">
        <f t="shared" si="18"/>
        <v>1</v>
      </c>
      <c r="L46" s="11">
        <f t="shared" si="18"/>
        <v>1</v>
      </c>
      <c r="M46" s="11">
        <f t="shared" si="18"/>
        <v>1</v>
      </c>
      <c r="N46" s="11">
        <f t="shared" si="18"/>
        <v>1</v>
      </c>
      <c r="O46" s="11">
        <f t="shared" si="18"/>
        <v>1</v>
      </c>
      <c r="P46" s="11">
        <f t="shared" si="19"/>
        <v>1</v>
      </c>
      <c r="Q46" s="11">
        <f t="shared" si="19"/>
        <v>1</v>
      </c>
      <c r="R46" s="23">
        <f t="shared" si="19"/>
        <v>1</v>
      </c>
      <c r="S46" s="11">
        <f t="shared" si="19"/>
        <v>1</v>
      </c>
      <c r="T46" s="11">
        <f t="shared" si="19"/>
        <v>1</v>
      </c>
      <c r="U46" s="11">
        <f t="shared" si="19"/>
        <v>1</v>
      </c>
      <c r="V46" s="11">
        <f t="shared" si="19"/>
        <v>1</v>
      </c>
      <c r="W46" s="11">
        <f t="shared" si="19"/>
        <v>1</v>
      </c>
      <c r="X46" s="11">
        <f t="shared" si="19"/>
        <v>1</v>
      </c>
      <c r="Y46" s="11">
        <f t="shared" si="19"/>
        <v>1</v>
      </c>
      <c r="Z46" s="11">
        <f t="shared" si="19"/>
        <v>1</v>
      </c>
      <c r="AA46" s="11">
        <f t="shared" si="19"/>
        <v>1</v>
      </c>
      <c r="AB46" s="11">
        <f t="shared" si="19"/>
        <v>1</v>
      </c>
      <c r="AC46" s="11">
        <f t="shared" si="19"/>
        <v>1</v>
      </c>
    </row>
    <row r="47" spans="1:29" ht="23" customHeight="1">
      <c r="A47" s="1" t="s">
        <v>83</v>
      </c>
      <c r="B47" s="1" t="s">
        <v>84</v>
      </c>
      <c r="C47" s="9">
        <v>3</v>
      </c>
      <c r="D47" s="9">
        <v>24</v>
      </c>
      <c r="E47" s="10">
        <f>D47-C47+1</f>
        <v>22</v>
      </c>
      <c r="F47" s="11">
        <f t="shared" si="18"/>
        <v>0</v>
      </c>
      <c r="G47" s="11">
        <f t="shared" si="18"/>
        <v>0</v>
      </c>
      <c r="H47" s="11">
        <f t="shared" si="18"/>
        <v>1</v>
      </c>
      <c r="I47" s="11">
        <f t="shared" si="18"/>
        <v>1</v>
      </c>
      <c r="J47" s="11">
        <f t="shared" si="18"/>
        <v>1</v>
      </c>
      <c r="K47" s="11">
        <f t="shared" si="18"/>
        <v>1</v>
      </c>
      <c r="L47" s="11">
        <f t="shared" si="18"/>
        <v>1</v>
      </c>
      <c r="M47" s="11">
        <f t="shared" si="18"/>
        <v>1</v>
      </c>
      <c r="N47" s="11">
        <f t="shared" si="18"/>
        <v>1</v>
      </c>
      <c r="O47" s="11">
        <f t="shared" si="18"/>
        <v>1</v>
      </c>
      <c r="P47" s="11">
        <f t="shared" si="19"/>
        <v>1</v>
      </c>
      <c r="Q47" s="11">
        <f t="shared" si="19"/>
        <v>1</v>
      </c>
      <c r="R47" s="23">
        <f t="shared" si="19"/>
        <v>1</v>
      </c>
      <c r="S47" s="11">
        <f t="shared" si="19"/>
        <v>1</v>
      </c>
      <c r="T47" s="11">
        <f t="shared" si="19"/>
        <v>1</v>
      </c>
      <c r="U47" s="11">
        <f t="shared" si="19"/>
        <v>1</v>
      </c>
      <c r="V47" s="11">
        <f t="shared" si="19"/>
        <v>1</v>
      </c>
      <c r="W47" s="11">
        <f t="shared" si="19"/>
        <v>1</v>
      </c>
      <c r="X47" s="11">
        <f t="shared" si="19"/>
        <v>1</v>
      </c>
      <c r="Y47" s="11">
        <f t="shared" si="19"/>
        <v>1</v>
      </c>
      <c r="Z47" s="11">
        <f t="shared" si="19"/>
        <v>1</v>
      </c>
      <c r="AA47" s="11">
        <f t="shared" si="19"/>
        <v>1</v>
      </c>
      <c r="AB47" s="11">
        <f t="shared" si="19"/>
        <v>1</v>
      </c>
      <c r="AC47" s="11">
        <f t="shared" si="19"/>
        <v>1</v>
      </c>
    </row>
    <row r="48" spans="1:29" ht="23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36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23" customHeight="1">
      <c r="A49" s="33"/>
      <c r="B49" s="33" t="s">
        <v>85</v>
      </c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7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ht="23" customHeight="1">
      <c r="A50" s="1" t="s">
        <v>86</v>
      </c>
      <c r="B50" s="1" t="s">
        <v>87</v>
      </c>
      <c r="C50" s="34">
        <v>2</v>
      </c>
      <c r="D50" s="34">
        <v>3</v>
      </c>
      <c r="E50" s="1">
        <f t="shared" ref="E50:E55" si="20">D50-C50+1</f>
        <v>2</v>
      </c>
      <c r="F50" s="35">
        <f t="shared" ref="F50:O55" si="21">IF(AND(F$7&gt;=$C50,F$7&lt;=$D50),1,0)</f>
        <v>0</v>
      </c>
      <c r="G50" s="35">
        <f t="shared" si="21"/>
        <v>1</v>
      </c>
      <c r="H50" s="35">
        <f t="shared" si="21"/>
        <v>1</v>
      </c>
      <c r="I50" s="35">
        <f t="shared" si="21"/>
        <v>0</v>
      </c>
      <c r="J50" s="35">
        <f t="shared" si="21"/>
        <v>0</v>
      </c>
      <c r="K50" s="35">
        <f t="shared" si="21"/>
        <v>0</v>
      </c>
      <c r="L50" s="35">
        <f t="shared" si="21"/>
        <v>0</v>
      </c>
      <c r="M50" s="35">
        <f t="shared" si="21"/>
        <v>0</v>
      </c>
      <c r="N50" s="35">
        <f t="shared" si="21"/>
        <v>0</v>
      </c>
      <c r="O50" s="35">
        <f t="shared" si="21"/>
        <v>0</v>
      </c>
      <c r="P50" s="35">
        <f t="shared" ref="P50:AC55" si="22">IF(AND(P$7&gt;=$C50,P$7&lt;=$D50),1,0)</f>
        <v>0</v>
      </c>
      <c r="Q50" s="35">
        <f t="shared" si="22"/>
        <v>0</v>
      </c>
      <c r="R50" s="38">
        <f t="shared" si="22"/>
        <v>0</v>
      </c>
      <c r="S50" s="35">
        <f t="shared" si="22"/>
        <v>0</v>
      </c>
      <c r="T50" s="35">
        <f t="shared" si="22"/>
        <v>0</v>
      </c>
      <c r="U50" s="35">
        <f t="shared" si="22"/>
        <v>0</v>
      </c>
      <c r="V50" s="35">
        <f t="shared" si="22"/>
        <v>0</v>
      </c>
      <c r="W50" s="35">
        <f t="shared" si="22"/>
        <v>0</v>
      </c>
      <c r="X50" s="35">
        <f t="shared" si="22"/>
        <v>0</v>
      </c>
      <c r="Y50" s="35">
        <f t="shared" si="22"/>
        <v>0</v>
      </c>
      <c r="Z50" s="35">
        <f t="shared" si="22"/>
        <v>0</v>
      </c>
      <c r="AA50" s="35">
        <f t="shared" si="22"/>
        <v>0</v>
      </c>
      <c r="AB50" s="35">
        <f t="shared" si="22"/>
        <v>0</v>
      </c>
      <c r="AC50" s="35">
        <f t="shared" si="22"/>
        <v>0</v>
      </c>
    </row>
    <row r="51" spans="1:29" ht="23" customHeight="1">
      <c r="A51" s="1" t="s">
        <v>88</v>
      </c>
      <c r="B51" s="1" t="s">
        <v>89</v>
      </c>
      <c r="C51" s="34">
        <v>2</v>
      </c>
      <c r="D51" s="34">
        <v>3</v>
      </c>
      <c r="E51" s="1">
        <f t="shared" si="20"/>
        <v>2</v>
      </c>
      <c r="F51" s="35">
        <f t="shared" si="21"/>
        <v>0</v>
      </c>
      <c r="G51" s="35">
        <f t="shared" si="21"/>
        <v>1</v>
      </c>
      <c r="H51" s="35">
        <f t="shared" si="21"/>
        <v>1</v>
      </c>
      <c r="I51" s="35">
        <f t="shared" si="21"/>
        <v>0</v>
      </c>
      <c r="J51" s="35">
        <f t="shared" si="21"/>
        <v>0</v>
      </c>
      <c r="K51" s="35">
        <f t="shared" si="21"/>
        <v>0</v>
      </c>
      <c r="L51" s="35">
        <f t="shared" si="21"/>
        <v>0</v>
      </c>
      <c r="M51" s="35">
        <f t="shared" si="21"/>
        <v>0</v>
      </c>
      <c r="N51" s="35">
        <f t="shared" si="21"/>
        <v>0</v>
      </c>
      <c r="O51" s="35">
        <f t="shared" si="21"/>
        <v>0</v>
      </c>
      <c r="P51" s="35">
        <f t="shared" si="22"/>
        <v>0</v>
      </c>
      <c r="Q51" s="35">
        <f t="shared" si="22"/>
        <v>0</v>
      </c>
      <c r="R51" s="38">
        <f t="shared" si="22"/>
        <v>0</v>
      </c>
      <c r="S51" s="35">
        <f t="shared" si="22"/>
        <v>0</v>
      </c>
      <c r="T51" s="35">
        <f t="shared" si="22"/>
        <v>0</v>
      </c>
      <c r="U51" s="35">
        <f t="shared" si="22"/>
        <v>0</v>
      </c>
      <c r="V51" s="35">
        <f t="shared" si="22"/>
        <v>0</v>
      </c>
      <c r="W51" s="35">
        <f t="shared" si="22"/>
        <v>0</v>
      </c>
      <c r="X51" s="35">
        <f t="shared" si="22"/>
        <v>0</v>
      </c>
      <c r="Y51" s="35">
        <f t="shared" si="22"/>
        <v>0</v>
      </c>
      <c r="Z51" s="35">
        <f t="shared" si="22"/>
        <v>0</v>
      </c>
      <c r="AA51" s="35">
        <f t="shared" si="22"/>
        <v>0</v>
      </c>
      <c r="AB51" s="35">
        <f t="shared" si="22"/>
        <v>0</v>
      </c>
      <c r="AC51" s="35">
        <f t="shared" si="22"/>
        <v>0</v>
      </c>
    </row>
    <row r="52" spans="1:29" ht="23" customHeight="1">
      <c r="A52" s="1" t="s">
        <v>90</v>
      </c>
      <c r="B52" s="1" t="s">
        <v>91</v>
      </c>
      <c r="C52" s="34">
        <v>2</v>
      </c>
      <c r="D52" s="34">
        <v>3</v>
      </c>
      <c r="E52" s="1">
        <f t="shared" si="20"/>
        <v>2</v>
      </c>
      <c r="F52" s="35">
        <f t="shared" si="21"/>
        <v>0</v>
      </c>
      <c r="G52" s="35">
        <f t="shared" si="21"/>
        <v>1</v>
      </c>
      <c r="H52" s="35">
        <f t="shared" si="21"/>
        <v>1</v>
      </c>
      <c r="I52" s="35">
        <f t="shared" si="21"/>
        <v>0</v>
      </c>
      <c r="J52" s="35">
        <f t="shared" si="21"/>
        <v>0</v>
      </c>
      <c r="K52" s="35">
        <f t="shared" si="21"/>
        <v>0</v>
      </c>
      <c r="L52" s="35">
        <f t="shared" si="21"/>
        <v>0</v>
      </c>
      <c r="M52" s="35">
        <f t="shared" si="21"/>
        <v>0</v>
      </c>
      <c r="N52" s="35">
        <f t="shared" si="21"/>
        <v>0</v>
      </c>
      <c r="O52" s="35">
        <f t="shared" si="21"/>
        <v>0</v>
      </c>
      <c r="P52" s="35">
        <f t="shared" si="22"/>
        <v>0</v>
      </c>
      <c r="Q52" s="35">
        <f t="shared" si="22"/>
        <v>0</v>
      </c>
      <c r="R52" s="38">
        <f t="shared" si="22"/>
        <v>0</v>
      </c>
      <c r="S52" s="35">
        <f t="shared" si="22"/>
        <v>0</v>
      </c>
      <c r="T52" s="35">
        <f t="shared" si="22"/>
        <v>0</v>
      </c>
      <c r="U52" s="35">
        <f t="shared" si="22"/>
        <v>0</v>
      </c>
      <c r="V52" s="35">
        <f t="shared" si="22"/>
        <v>0</v>
      </c>
      <c r="W52" s="35">
        <f t="shared" si="22"/>
        <v>0</v>
      </c>
      <c r="X52" s="35">
        <f t="shared" si="22"/>
        <v>0</v>
      </c>
      <c r="Y52" s="35">
        <f t="shared" si="22"/>
        <v>0</v>
      </c>
      <c r="Z52" s="35">
        <f t="shared" si="22"/>
        <v>0</v>
      </c>
      <c r="AA52" s="35">
        <f t="shared" si="22"/>
        <v>0</v>
      </c>
      <c r="AB52" s="35">
        <f t="shared" si="22"/>
        <v>0</v>
      </c>
      <c r="AC52" s="35">
        <f t="shared" si="22"/>
        <v>0</v>
      </c>
    </row>
    <row r="53" spans="1:29" ht="23" customHeight="1">
      <c r="A53" s="1" t="s">
        <v>92</v>
      </c>
      <c r="B53" s="1" t="s">
        <v>93</v>
      </c>
      <c r="C53" s="34">
        <v>3</v>
      </c>
      <c r="D53" s="34">
        <v>4</v>
      </c>
      <c r="E53" s="1">
        <f t="shared" si="20"/>
        <v>2</v>
      </c>
      <c r="F53" s="35">
        <f t="shared" si="21"/>
        <v>0</v>
      </c>
      <c r="G53" s="35">
        <f t="shared" si="21"/>
        <v>0</v>
      </c>
      <c r="H53" s="35">
        <f t="shared" si="21"/>
        <v>1</v>
      </c>
      <c r="I53" s="35">
        <f t="shared" si="21"/>
        <v>1</v>
      </c>
      <c r="J53" s="35">
        <f t="shared" si="21"/>
        <v>0</v>
      </c>
      <c r="K53" s="35">
        <f t="shared" si="21"/>
        <v>0</v>
      </c>
      <c r="L53" s="35">
        <f t="shared" si="21"/>
        <v>0</v>
      </c>
      <c r="M53" s="35">
        <f t="shared" si="21"/>
        <v>0</v>
      </c>
      <c r="N53" s="35">
        <f t="shared" si="21"/>
        <v>0</v>
      </c>
      <c r="O53" s="35">
        <f t="shared" si="21"/>
        <v>0</v>
      </c>
      <c r="P53" s="35">
        <f t="shared" si="22"/>
        <v>0</v>
      </c>
      <c r="Q53" s="35">
        <f t="shared" si="22"/>
        <v>0</v>
      </c>
      <c r="R53" s="38">
        <f t="shared" si="22"/>
        <v>0</v>
      </c>
      <c r="S53" s="35">
        <f t="shared" si="22"/>
        <v>0</v>
      </c>
      <c r="T53" s="35">
        <f t="shared" si="22"/>
        <v>0</v>
      </c>
      <c r="U53" s="35">
        <f t="shared" si="22"/>
        <v>0</v>
      </c>
      <c r="V53" s="35">
        <f t="shared" si="22"/>
        <v>0</v>
      </c>
      <c r="W53" s="35">
        <f t="shared" si="22"/>
        <v>0</v>
      </c>
      <c r="X53" s="35">
        <f t="shared" si="22"/>
        <v>0</v>
      </c>
      <c r="Y53" s="35">
        <f t="shared" si="22"/>
        <v>0</v>
      </c>
      <c r="Z53" s="35">
        <f t="shared" si="22"/>
        <v>0</v>
      </c>
      <c r="AA53" s="35">
        <f t="shared" si="22"/>
        <v>0</v>
      </c>
      <c r="AB53" s="35">
        <f t="shared" si="22"/>
        <v>0</v>
      </c>
      <c r="AC53" s="35">
        <f t="shared" si="22"/>
        <v>0</v>
      </c>
    </row>
    <row r="54" spans="1:29" ht="23" customHeight="1">
      <c r="A54" s="1" t="s">
        <v>94</v>
      </c>
      <c r="B54" s="1" t="s">
        <v>95</v>
      </c>
      <c r="C54" s="34">
        <v>5</v>
      </c>
      <c r="D54" s="34">
        <v>24</v>
      </c>
      <c r="E54" s="1">
        <f t="shared" si="20"/>
        <v>20</v>
      </c>
      <c r="F54" s="35">
        <f t="shared" si="21"/>
        <v>0</v>
      </c>
      <c r="G54" s="35">
        <f t="shared" si="21"/>
        <v>0</v>
      </c>
      <c r="H54" s="35">
        <f t="shared" si="21"/>
        <v>0</v>
      </c>
      <c r="I54" s="35">
        <f t="shared" si="21"/>
        <v>0</v>
      </c>
      <c r="J54" s="35">
        <f t="shared" si="21"/>
        <v>1</v>
      </c>
      <c r="K54" s="35">
        <f t="shared" si="21"/>
        <v>1</v>
      </c>
      <c r="L54" s="35">
        <f t="shared" si="21"/>
        <v>1</v>
      </c>
      <c r="M54" s="35">
        <f t="shared" si="21"/>
        <v>1</v>
      </c>
      <c r="N54" s="35">
        <f t="shared" si="21"/>
        <v>1</v>
      </c>
      <c r="O54" s="35">
        <f t="shared" si="21"/>
        <v>1</v>
      </c>
      <c r="P54" s="35">
        <f t="shared" si="22"/>
        <v>1</v>
      </c>
      <c r="Q54" s="35">
        <f t="shared" si="22"/>
        <v>1</v>
      </c>
      <c r="R54" s="38">
        <f t="shared" si="22"/>
        <v>1</v>
      </c>
      <c r="S54" s="35">
        <f t="shared" si="22"/>
        <v>1</v>
      </c>
      <c r="T54" s="35">
        <f t="shared" si="22"/>
        <v>1</v>
      </c>
      <c r="U54" s="35">
        <f t="shared" si="22"/>
        <v>1</v>
      </c>
      <c r="V54" s="35">
        <f t="shared" si="22"/>
        <v>1</v>
      </c>
      <c r="W54" s="35">
        <f t="shared" si="22"/>
        <v>1</v>
      </c>
      <c r="X54" s="35">
        <f t="shared" si="22"/>
        <v>1</v>
      </c>
      <c r="Y54" s="35">
        <f t="shared" si="22"/>
        <v>1</v>
      </c>
      <c r="Z54" s="35">
        <f t="shared" si="22"/>
        <v>1</v>
      </c>
      <c r="AA54" s="35">
        <f t="shared" si="22"/>
        <v>1</v>
      </c>
      <c r="AB54" s="35">
        <f t="shared" si="22"/>
        <v>1</v>
      </c>
      <c r="AC54" s="35">
        <f t="shared" si="22"/>
        <v>1</v>
      </c>
    </row>
    <row r="55" spans="1:29" ht="23" customHeight="1">
      <c r="A55" s="1" t="s">
        <v>96</v>
      </c>
      <c r="B55" s="48" t="s">
        <v>363</v>
      </c>
      <c r="C55" s="8">
        <v>4</v>
      </c>
      <c r="D55" s="8">
        <v>4</v>
      </c>
      <c r="E55" s="1">
        <f t="shared" si="20"/>
        <v>1</v>
      </c>
      <c r="F55" s="35">
        <f t="shared" si="21"/>
        <v>0</v>
      </c>
      <c r="G55" s="35">
        <f t="shared" si="21"/>
        <v>0</v>
      </c>
      <c r="H55" s="35">
        <f t="shared" si="21"/>
        <v>0</v>
      </c>
      <c r="I55" s="35">
        <f t="shared" si="21"/>
        <v>1</v>
      </c>
      <c r="J55" s="49">
        <f t="shared" si="21"/>
        <v>0</v>
      </c>
      <c r="K55" s="35">
        <f t="shared" si="21"/>
        <v>0</v>
      </c>
      <c r="L55" s="35">
        <f t="shared" si="21"/>
        <v>0</v>
      </c>
      <c r="M55" s="35">
        <f t="shared" si="21"/>
        <v>0</v>
      </c>
      <c r="N55" s="35">
        <f t="shared" si="21"/>
        <v>0</v>
      </c>
      <c r="O55" s="35">
        <f t="shared" si="21"/>
        <v>0</v>
      </c>
      <c r="P55" s="35">
        <f t="shared" si="22"/>
        <v>0</v>
      </c>
      <c r="Q55" s="35">
        <f t="shared" si="22"/>
        <v>0</v>
      </c>
      <c r="R55" s="38">
        <f t="shared" si="22"/>
        <v>0</v>
      </c>
      <c r="S55" s="35">
        <f t="shared" si="22"/>
        <v>0</v>
      </c>
      <c r="T55" s="35">
        <f t="shared" si="22"/>
        <v>0</v>
      </c>
      <c r="U55" s="35">
        <f t="shared" si="22"/>
        <v>0</v>
      </c>
      <c r="V55" s="35">
        <f t="shared" si="22"/>
        <v>0</v>
      </c>
      <c r="W55" s="35">
        <f t="shared" si="22"/>
        <v>0</v>
      </c>
      <c r="X55" s="35">
        <f t="shared" si="22"/>
        <v>0</v>
      </c>
      <c r="Y55" s="35">
        <f t="shared" si="22"/>
        <v>0</v>
      </c>
      <c r="Z55" s="35">
        <f t="shared" si="22"/>
        <v>0</v>
      </c>
      <c r="AA55" s="35">
        <f t="shared" si="22"/>
        <v>0</v>
      </c>
      <c r="AB55" s="35">
        <f t="shared" si="22"/>
        <v>0</v>
      </c>
      <c r="AC55" s="35">
        <f t="shared" si="22"/>
        <v>0</v>
      </c>
    </row>
    <row r="56" spans="1:29" ht="2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23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23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23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23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23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23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23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23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23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23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23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23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23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23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</sheetData>
  <mergeCells count="2">
    <mergeCell ref="F6:Q6"/>
    <mergeCell ref="R6:AC6"/>
  </mergeCells>
  <conditionalFormatting sqref="C9:D54">
    <cfRule type="expression" dxfId="9" priority="35">
      <formula>AND(ISNUMBER($C9),ISNUMBER($D9),$D9&lt;$C9)</formula>
    </cfRule>
  </conditionalFormatting>
  <conditionalFormatting sqref="F9:AC15">
    <cfRule type="cellIs" dxfId="8" priority="1" operator="equal">
      <formula>1</formula>
    </cfRule>
  </conditionalFormatting>
  <conditionalFormatting sqref="F18:AC21">
    <cfRule type="cellIs" dxfId="7" priority="8" operator="equal">
      <formula>1</formula>
    </cfRule>
  </conditionalFormatting>
  <conditionalFormatting sqref="F24:AC28">
    <cfRule type="cellIs" dxfId="6" priority="12" operator="equal">
      <formula>1</formula>
    </cfRule>
  </conditionalFormatting>
  <conditionalFormatting sqref="F31:AC36">
    <cfRule type="cellIs" dxfId="5" priority="17" operator="equal">
      <formula>1</formula>
    </cfRule>
  </conditionalFormatting>
  <conditionalFormatting sqref="F39:AC42">
    <cfRule type="cellIs" dxfId="4" priority="23" operator="equal">
      <formula>1</formula>
    </cfRule>
  </conditionalFormatting>
  <conditionalFormatting sqref="F45:AC47">
    <cfRule type="cellIs" dxfId="3" priority="27" operator="equal">
      <formula>1</formula>
    </cfRule>
  </conditionalFormatting>
  <conditionalFormatting sqref="F50:AC54">
    <cfRule type="cellIs" dxfId="2" priority="30" operator="equal">
      <formula>1</formula>
    </cfRule>
  </conditionalFormatting>
  <conditionalFormatting sqref="F55:AC55">
    <cfRule type="cellIs" dxfId="1" priority="36" operator="equal">
      <formula>1</formula>
    </cfRule>
  </conditionalFormatting>
  <dataValidations count="1">
    <dataValidation type="whole" sqref="C9:D47 C50:D55" xr:uid="{00000000-0002-0000-0000-000000000000}">
      <formula1>1</formula1>
      <formula2>24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0"/>
  <sheetViews>
    <sheetView showGridLines="0" workbookViewId="0">
      <pane ySplit="19" topLeftCell="A20" activePane="bottomLeft" state="frozen"/>
      <selection pane="bottomLeft"/>
    </sheetView>
  </sheetViews>
  <sheetFormatPr baseColWidth="10" defaultColWidth="8.83203125" defaultRowHeight="15"/>
  <cols>
    <col min="1" max="1" width="23" customWidth="1"/>
    <col min="2" max="2" width="62" customWidth="1"/>
    <col min="3" max="3" width="24" customWidth="1"/>
    <col min="4" max="4" width="70" customWidth="1"/>
    <col min="5" max="5" width="65" customWidth="1"/>
    <col min="6" max="6" width="54" customWidth="1"/>
    <col min="7" max="7" width="10" customWidth="1"/>
  </cols>
  <sheetData>
    <row r="1" spans="1:2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0">
      <c r="A2" s="2" t="s">
        <v>98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48" customHeight="1">
      <c r="A4" s="5" t="s">
        <v>99</v>
      </c>
      <c r="B4" s="6" t="s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48" customHeight="1">
      <c r="A5" s="5" t="s">
        <v>101</v>
      </c>
      <c r="B5" s="6" t="s">
        <v>102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48" customHeight="1">
      <c r="A6" s="5" t="s">
        <v>103</v>
      </c>
      <c r="B6" s="6" t="s">
        <v>104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48" customHeight="1">
      <c r="A7" s="5" t="s">
        <v>105</v>
      </c>
      <c r="B7" s="6" t="s">
        <v>106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48" customHeight="1">
      <c r="A8" s="5" t="s">
        <v>107</v>
      </c>
      <c r="B8" s="6" t="s">
        <v>108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48" customHeight="1">
      <c r="A9" s="5" t="s">
        <v>109</v>
      </c>
      <c r="B9" s="6" t="s">
        <v>110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48" customHeight="1">
      <c r="A10" s="5" t="s">
        <v>111</v>
      </c>
      <c r="B10" s="6" t="s">
        <v>112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48" customHeight="1">
      <c r="A11" s="5" t="s">
        <v>113</v>
      </c>
      <c r="B11" s="6" t="s">
        <v>114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48" customHeight="1">
      <c r="A12" s="5" t="s">
        <v>115</v>
      </c>
      <c r="B12" s="6" t="s">
        <v>116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48" customHeight="1">
      <c r="A13" s="5" t="s">
        <v>117</v>
      </c>
      <c r="B13" s="6" t="s">
        <v>118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48" customHeight="1">
      <c r="A14" s="5" t="s">
        <v>119</v>
      </c>
      <c r="B14" s="6" t="s">
        <v>120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48" customHeight="1">
      <c r="A15" s="5" t="s">
        <v>121</v>
      </c>
      <c r="B15" s="6" t="s">
        <v>122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48" customHeight="1">
      <c r="A16" s="5" t="s">
        <v>123</v>
      </c>
      <c r="B16" s="6" t="s">
        <v>124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48" customHeight="1">
      <c r="A17" s="5" t="s">
        <v>125</v>
      </c>
      <c r="B17" s="6" t="s">
        <v>126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30" t="s">
        <v>6</v>
      </c>
      <c r="B19" s="30" t="s">
        <v>127</v>
      </c>
      <c r="C19" s="30" t="s">
        <v>121</v>
      </c>
      <c r="D19" s="30" t="s">
        <v>128</v>
      </c>
      <c r="E19" s="30" t="s">
        <v>129</v>
      </c>
      <c r="F19" s="30" t="s">
        <v>130</v>
      </c>
      <c r="G19" s="30" t="s">
        <v>131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48" customHeight="1">
      <c r="A20" s="6" t="s">
        <v>12</v>
      </c>
      <c r="B20" s="6" t="s">
        <v>13</v>
      </c>
      <c r="C20" s="6" t="s">
        <v>132</v>
      </c>
      <c r="D20" s="6" t="s">
        <v>133</v>
      </c>
      <c r="E20" s="6" t="s">
        <v>134</v>
      </c>
      <c r="F20" s="6" t="s">
        <v>135</v>
      </c>
      <c r="G20" s="6">
        <v>9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48" customHeight="1">
      <c r="A21" s="6" t="s">
        <v>14</v>
      </c>
      <c r="B21" s="6" t="s">
        <v>15</v>
      </c>
      <c r="C21" s="6" t="s">
        <v>12</v>
      </c>
      <c r="D21" s="6" t="s">
        <v>136</v>
      </c>
      <c r="E21" s="6" t="s">
        <v>137</v>
      </c>
      <c r="F21" s="6" t="s">
        <v>138</v>
      </c>
      <c r="G21" s="6">
        <v>10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48" customHeight="1">
      <c r="A22" s="6" t="s">
        <v>16</v>
      </c>
      <c r="B22" s="6" t="s">
        <v>17</v>
      </c>
      <c r="C22" s="6" t="s">
        <v>139</v>
      </c>
      <c r="D22" s="6" t="s">
        <v>140</v>
      </c>
      <c r="E22" s="6" t="s">
        <v>141</v>
      </c>
      <c r="F22" s="6" t="s">
        <v>142</v>
      </c>
      <c r="G22" s="6">
        <v>11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48" customHeight="1">
      <c r="A23" s="6" t="s">
        <v>18</v>
      </c>
      <c r="B23" s="6" t="s">
        <v>19</v>
      </c>
      <c r="C23" s="6" t="s">
        <v>12</v>
      </c>
      <c r="D23" s="6" t="s">
        <v>143</v>
      </c>
      <c r="E23" s="6" t="s">
        <v>144</v>
      </c>
      <c r="F23" s="6" t="s">
        <v>145</v>
      </c>
      <c r="G23" s="6">
        <v>12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48" customHeight="1">
      <c r="A24" s="6" t="s">
        <v>20</v>
      </c>
      <c r="B24" s="6" t="s">
        <v>21</v>
      </c>
      <c r="C24" s="6" t="s">
        <v>12</v>
      </c>
      <c r="D24" s="6" t="s">
        <v>146</v>
      </c>
      <c r="E24" s="6" t="s">
        <v>147</v>
      </c>
      <c r="F24" s="6" t="s">
        <v>148</v>
      </c>
      <c r="G24" s="6">
        <v>13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" customHeight="1">
      <c r="A25" s="6" t="s">
        <v>22</v>
      </c>
      <c r="B25" s="6" t="s">
        <v>23</v>
      </c>
      <c r="C25" s="6" t="s">
        <v>149</v>
      </c>
      <c r="D25" s="6" t="s">
        <v>150</v>
      </c>
      <c r="E25" s="6" t="s">
        <v>151</v>
      </c>
      <c r="F25" s="6" t="s">
        <v>152</v>
      </c>
      <c r="G25" s="6">
        <v>14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48" customHeight="1">
      <c r="A26" s="6" t="s">
        <v>24</v>
      </c>
      <c r="B26" s="6" t="s">
        <v>25</v>
      </c>
      <c r="C26" s="6" t="s">
        <v>149</v>
      </c>
      <c r="D26" s="6" t="s">
        <v>153</v>
      </c>
      <c r="E26" s="6" t="s">
        <v>154</v>
      </c>
      <c r="F26" s="6" t="s">
        <v>155</v>
      </c>
      <c r="G26" s="6">
        <v>15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48" customHeight="1">
      <c r="A27" s="6" t="s">
        <v>26</v>
      </c>
      <c r="B27" s="6" t="s">
        <v>27</v>
      </c>
      <c r="C27" s="6" t="s">
        <v>156</v>
      </c>
      <c r="D27" s="6" t="s">
        <v>157</v>
      </c>
      <c r="E27" s="6" t="s">
        <v>158</v>
      </c>
      <c r="F27" s="6" t="s">
        <v>159</v>
      </c>
      <c r="G27" s="6">
        <v>16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48" customHeight="1">
      <c r="A28" s="6" t="s">
        <v>29</v>
      </c>
      <c r="B28" s="6" t="s">
        <v>30</v>
      </c>
      <c r="C28" s="6" t="s">
        <v>26</v>
      </c>
      <c r="D28" s="6" t="s">
        <v>160</v>
      </c>
      <c r="E28" s="6" t="s">
        <v>161</v>
      </c>
      <c r="F28" s="6" t="s">
        <v>162</v>
      </c>
      <c r="G28" s="6">
        <v>18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48" customHeight="1">
      <c r="A29" s="6" t="s">
        <v>31</v>
      </c>
      <c r="B29" s="6" t="s">
        <v>32</v>
      </c>
      <c r="C29" s="6" t="s">
        <v>26</v>
      </c>
      <c r="D29" s="6" t="s">
        <v>163</v>
      </c>
      <c r="E29" s="6" t="s">
        <v>164</v>
      </c>
      <c r="F29" s="6" t="s">
        <v>165</v>
      </c>
      <c r="G29" s="6">
        <v>19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48" customHeight="1">
      <c r="A30" s="6" t="s">
        <v>33</v>
      </c>
      <c r="B30" s="6" t="s">
        <v>34</v>
      </c>
      <c r="C30" s="6" t="s">
        <v>166</v>
      </c>
      <c r="D30" s="6" t="s">
        <v>167</v>
      </c>
      <c r="E30" s="6" t="s">
        <v>168</v>
      </c>
      <c r="F30" s="6" t="s">
        <v>169</v>
      </c>
      <c r="G30" s="6">
        <v>20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48" customHeight="1">
      <c r="A31" s="6" t="s">
        <v>35</v>
      </c>
      <c r="B31" s="6" t="s">
        <v>36</v>
      </c>
      <c r="C31" s="6" t="s">
        <v>26</v>
      </c>
      <c r="D31" s="6" t="s">
        <v>170</v>
      </c>
      <c r="E31" s="6" t="s">
        <v>164</v>
      </c>
      <c r="F31" s="6" t="s">
        <v>171</v>
      </c>
      <c r="G31" s="6">
        <v>21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48" customHeight="1">
      <c r="A32" s="6" t="s">
        <v>37</v>
      </c>
      <c r="B32" s="6" t="s">
        <v>38</v>
      </c>
      <c r="C32" s="6" t="s">
        <v>172</v>
      </c>
      <c r="D32" s="6" t="s">
        <v>173</v>
      </c>
      <c r="E32" s="6" t="s">
        <v>174</v>
      </c>
      <c r="F32" s="6" t="s">
        <v>159</v>
      </c>
      <c r="G32" s="6">
        <v>22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48" customHeight="1">
      <c r="A33" s="6" t="s">
        <v>40</v>
      </c>
      <c r="B33" s="6" t="s">
        <v>41</v>
      </c>
      <c r="C33" s="6" t="s">
        <v>37</v>
      </c>
      <c r="D33" s="6" t="s">
        <v>175</v>
      </c>
      <c r="E33" s="6" t="s">
        <v>176</v>
      </c>
      <c r="F33" s="6" t="s">
        <v>177</v>
      </c>
      <c r="G33" s="6">
        <v>24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48" customHeight="1">
      <c r="A34" s="6" t="s">
        <v>42</v>
      </c>
      <c r="B34" s="6" t="s">
        <v>43</v>
      </c>
      <c r="C34" s="6" t="s">
        <v>178</v>
      </c>
      <c r="D34" s="6" t="s">
        <v>179</v>
      </c>
      <c r="E34" s="6" t="s">
        <v>180</v>
      </c>
      <c r="F34" s="6" t="s">
        <v>181</v>
      </c>
      <c r="G34" s="6">
        <v>25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48" customHeight="1">
      <c r="A35" s="6" t="s">
        <v>44</v>
      </c>
      <c r="B35" s="6" t="s">
        <v>45</v>
      </c>
      <c r="C35" s="6" t="s">
        <v>37</v>
      </c>
      <c r="D35" s="6" t="s">
        <v>182</v>
      </c>
      <c r="E35" s="6" t="s">
        <v>183</v>
      </c>
      <c r="F35" s="6" t="s">
        <v>184</v>
      </c>
      <c r="G35" s="6">
        <v>26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48" customHeight="1">
      <c r="A36" s="6" t="s">
        <v>46</v>
      </c>
      <c r="B36" s="6" t="s">
        <v>47</v>
      </c>
      <c r="C36" s="6" t="s">
        <v>185</v>
      </c>
      <c r="D36" s="6" t="s">
        <v>186</v>
      </c>
      <c r="E36" s="6" t="s">
        <v>187</v>
      </c>
      <c r="F36" s="6" t="s">
        <v>188</v>
      </c>
      <c r="G36" s="6">
        <v>27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48" customHeight="1">
      <c r="A37" s="6" t="s">
        <v>48</v>
      </c>
      <c r="B37" s="6" t="s">
        <v>49</v>
      </c>
      <c r="C37" s="6" t="s">
        <v>189</v>
      </c>
      <c r="D37" s="6" t="s">
        <v>190</v>
      </c>
      <c r="E37" s="6" t="s">
        <v>191</v>
      </c>
      <c r="F37" s="6" t="s">
        <v>192</v>
      </c>
      <c r="G37" s="6">
        <v>28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48" customHeight="1">
      <c r="A38" s="6" t="s">
        <v>50</v>
      </c>
      <c r="B38" s="6" t="s">
        <v>51</v>
      </c>
      <c r="C38" s="6" t="s">
        <v>193</v>
      </c>
      <c r="D38" s="6" t="s">
        <v>194</v>
      </c>
      <c r="E38" s="6" t="s">
        <v>195</v>
      </c>
      <c r="F38" s="6" t="s">
        <v>159</v>
      </c>
      <c r="G38" s="6">
        <v>29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48" customHeight="1">
      <c r="A39" s="6" t="s">
        <v>53</v>
      </c>
      <c r="B39" s="6" t="s">
        <v>54</v>
      </c>
      <c r="C39" s="6" t="s">
        <v>50</v>
      </c>
      <c r="D39" s="6" t="s">
        <v>196</v>
      </c>
      <c r="E39" s="6" t="s">
        <v>197</v>
      </c>
      <c r="F39" s="6" t="s">
        <v>198</v>
      </c>
      <c r="G39" s="6">
        <v>31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48" customHeight="1">
      <c r="A40" s="6" t="s">
        <v>55</v>
      </c>
      <c r="B40" s="6" t="s">
        <v>56</v>
      </c>
      <c r="C40" s="6" t="s">
        <v>199</v>
      </c>
      <c r="D40" s="6" t="s">
        <v>200</v>
      </c>
      <c r="E40" s="6" t="s">
        <v>201</v>
      </c>
      <c r="F40" s="6" t="s">
        <v>202</v>
      </c>
      <c r="G40" s="6">
        <v>32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48" customHeight="1">
      <c r="A41" s="6" t="s">
        <v>57</v>
      </c>
      <c r="B41" s="6" t="s">
        <v>58</v>
      </c>
      <c r="C41" s="6" t="s">
        <v>203</v>
      </c>
      <c r="D41" s="6" t="s">
        <v>204</v>
      </c>
      <c r="E41" s="6" t="s">
        <v>205</v>
      </c>
      <c r="F41" s="6" t="s">
        <v>155</v>
      </c>
      <c r="G41" s="6">
        <v>33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48" customHeight="1">
      <c r="A42" s="6" t="s">
        <v>59</v>
      </c>
      <c r="B42" s="6" t="s">
        <v>60</v>
      </c>
      <c r="C42" s="6" t="s">
        <v>50</v>
      </c>
      <c r="D42" s="6" t="s">
        <v>206</v>
      </c>
      <c r="E42" s="6" t="s">
        <v>197</v>
      </c>
      <c r="F42" s="6" t="s">
        <v>207</v>
      </c>
      <c r="G42" s="6">
        <v>34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48" customHeight="1">
      <c r="A43" s="6" t="s">
        <v>61</v>
      </c>
      <c r="B43" s="6" t="s">
        <v>62</v>
      </c>
      <c r="C43" s="6" t="s">
        <v>208</v>
      </c>
      <c r="D43" s="6" t="s">
        <v>209</v>
      </c>
      <c r="E43" s="6" t="s">
        <v>210</v>
      </c>
      <c r="F43" s="6" t="s">
        <v>211</v>
      </c>
      <c r="G43" s="6">
        <v>35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48" customHeight="1">
      <c r="A44" s="6" t="s">
        <v>63</v>
      </c>
      <c r="B44" s="6" t="s">
        <v>64</v>
      </c>
      <c r="C44" s="6" t="s">
        <v>212</v>
      </c>
      <c r="D44" s="6" t="s">
        <v>213</v>
      </c>
      <c r="E44" s="6" t="s">
        <v>214</v>
      </c>
      <c r="F44" s="6" t="s">
        <v>215</v>
      </c>
      <c r="G44" s="6">
        <v>36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48" customHeight="1">
      <c r="A45" s="6" t="s">
        <v>65</v>
      </c>
      <c r="B45" s="6" t="s">
        <v>66</v>
      </c>
      <c r="C45" s="6" t="s">
        <v>216</v>
      </c>
      <c r="D45" s="6" t="s">
        <v>217</v>
      </c>
      <c r="E45" s="6" t="s">
        <v>218</v>
      </c>
      <c r="F45" s="6" t="s">
        <v>159</v>
      </c>
      <c r="G45" s="6">
        <v>37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48" customHeight="1">
      <c r="A46" s="6" t="s">
        <v>68</v>
      </c>
      <c r="B46" s="6" t="s">
        <v>69</v>
      </c>
      <c r="C46" s="6" t="s">
        <v>65</v>
      </c>
      <c r="D46" s="6" t="s">
        <v>219</v>
      </c>
      <c r="E46" s="6" t="s">
        <v>220</v>
      </c>
      <c r="F46" s="6" t="s">
        <v>202</v>
      </c>
      <c r="G46" s="6">
        <v>39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48" customHeight="1">
      <c r="A47" s="6" t="s">
        <v>70</v>
      </c>
      <c r="B47" s="6" t="s">
        <v>71</v>
      </c>
      <c r="C47" s="6" t="s">
        <v>65</v>
      </c>
      <c r="D47" s="6" t="s">
        <v>221</v>
      </c>
      <c r="E47" s="6" t="s">
        <v>222</v>
      </c>
      <c r="F47" s="6" t="s">
        <v>202</v>
      </c>
      <c r="G47" s="6">
        <v>40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48" customHeight="1">
      <c r="A48" s="6" t="s">
        <v>72</v>
      </c>
      <c r="B48" s="6" t="s">
        <v>73</v>
      </c>
      <c r="C48" s="6" t="s">
        <v>223</v>
      </c>
      <c r="D48" s="6" t="s">
        <v>224</v>
      </c>
      <c r="E48" s="6" t="s">
        <v>225</v>
      </c>
      <c r="F48" s="6" t="s">
        <v>226</v>
      </c>
      <c r="G48" s="6">
        <v>41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48" customHeight="1">
      <c r="A49" s="6" t="s">
        <v>74</v>
      </c>
      <c r="B49" s="6" t="s">
        <v>75</v>
      </c>
      <c r="C49" s="6" t="s">
        <v>227</v>
      </c>
      <c r="D49" s="6" t="s">
        <v>228</v>
      </c>
      <c r="E49" s="6" t="s">
        <v>229</v>
      </c>
      <c r="F49" s="6" t="s">
        <v>230</v>
      </c>
      <c r="G49" s="6">
        <v>42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48" customHeight="1">
      <c r="A50" s="6" t="s">
        <v>76</v>
      </c>
      <c r="B50" s="6" t="s">
        <v>77</v>
      </c>
      <c r="C50" s="6" t="s">
        <v>231</v>
      </c>
      <c r="D50" s="6" t="s">
        <v>232</v>
      </c>
      <c r="E50" s="6" t="s">
        <v>233</v>
      </c>
      <c r="F50" s="6" t="s">
        <v>159</v>
      </c>
      <c r="G50" s="6">
        <v>43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48" customHeight="1">
      <c r="A51" s="6" t="s">
        <v>79</v>
      </c>
      <c r="B51" s="6" t="s">
        <v>80</v>
      </c>
      <c r="C51" s="6" t="s">
        <v>12</v>
      </c>
      <c r="D51" s="6" t="s">
        <v>234</v>
      </c>
      <c r="E51" s="6" t="s">
        <v>235</v>
      </c>
      <c r="F51" s="6" t="s">
        <v>236</v>
      </c>
      <c r="G51" s="6">
        <v>45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48" customHeight="1">
      <c r="A52" s="6" t="s">
        <v>81</v>
      </c>
      <c r="B52" s="6" t="s">
        <v>82</v>
      </c>
      <c r="C52" s="6" t="s">
        <v>26</v>
      </c>
      <c r="D52" s="6" t="s">
        <v>237</v>
      </c>
      <c r="E52" s="6" t="s">
        <v>238</v>
      </c>
      <c r="F52" s="6" t="s">
        <v>239</v>
      </c>
      <c r="G52" s="6">
        <v>46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48" customHeight="1">
      <c r="A53" s="6" t="s">
        <v>83</v>
      </c>
      <c r="B53" s="6" t="s">
        <v>84</v>
      </c>
      <c r="C53" s="6" t="s">
        <v>240</v>
      </c>
      <c r="D53" s="6" t="s">
        <v>241</v>
      </c>
      <c r="E53" s="6" t="s">
        <v>242</v>
      </c>
      <c r="F53" s="6" t="s">
        <v>243</v>
      </c>
      <c r="G53" s="6">
        <v>47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50" customHeight="1">
      <c r="A54" s="6" t="s">
        <v>86</v>
      </c>
      <c r="B54" s="6" t="s">
        <v>87</v>
      </c>
      <c r="C54" s="6" t="s">
        <v>244</v>
      </c>
      <c r="D54" s="6" t="s">
        <v>245</v>
      </c>
      <c r="E54" s="6" t="s">
        <v>246</v>
      </c>
      <c r="F54" s="6" t="s">
        <v>247</v>
      </c>
      <c r="G54" s="6">
        <v>50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50" customHeight="1">
      <c r="A55" s="6" t="s">
        <v>88</v>
      </c>
      <c r="B55" s="6" t="s">
        <v>89</v>
      </c>
      <c r="C55" s="6" t="s">
        <v>244</v>
      </c>
      <c r="D55" s="6" t="s">
        <v>248</v>
      </c>
      <c r="E55" s="6" t="s">
        <v>249</v>
      </c>
      <c r="F55" s="6" t="s">
        <v>250</v>
      </c>
      <c r="G55" s="6">
        <v>51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50" customHeight="1">
      <c r="A56" s="6" t="s">
        <v>90</v>
      </c>
      <c r="B56" s="6" t="s">
        <v>91</v>
      </c>
      <c r="C56" s="6" t="s">
        <v>244</v>
      </c>
      <c r="D56" s="6" t="s">
        <v>251</v>
      </c>
      <c r="E56" s="6" t="s">
        <v>252</v>
      </c>
      <c r="F56" s="6" t="s">
        <v>253</v>
      </c>
      <c r="G56" s="6">
        <v>52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50" customHeight="1">
      <c r="A57" s="6" t="s">
        <v>92</v>
      </c>
      <c r="B57" s="6" t="s">
        <v>93</v>
      </c>
      <c r="C57" s="6" t="s">
        <v>254</v>
      </c>
      <c r="D57" s="6" t="s">
        <v>255</v>
      </c>
      <c r="E57" s="6" t="s">
        <v>256</v>
      </c>
      <c r="F57" s="6" t="s">
        <v>257</v>
      </c>
      <c r="G57" s="6">
        <v>53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50" customHeight="1">
      <c r="A58" s="6" t="s">
        <v>94</v>
      </c>
      <c r="B58" s="6" t="s">
        <v>95</v>
      </c>
      <c r="C58" s="6" t="s">
        <v>258</v>
      </c>
      <c r="D58" s="6" t="s">
        <v>259</v>
      </c>
      <c r="E58" s="6" t="s">
        <v>260</v>
      </c>
      <c r="F58" s="6" t="s">
        <v>261</v>
      </c>
      <c r="G58" s="6">
        <v>54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38" customHeight="1">
      <c r="A59" s="6" t="s">
        <v>96</v>
      </c>
      <c r="B59" s="6" t="s">
        <v>97</v>
      </c>
      <c r="C59" s="6" t="s">
        <v>262</v>
      </c>
      <c r="D59" s="6" t="s">
        <v>263</v>
      </c>
      <c r="E59" s="6" t="s">
        <v>264</v>
      </c>
      <c r="F59" s="6" t="s">
        <v>265</v>
      </c>
      <c r="G59" s="6">
        <v>55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38" customHeight="1"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50" customHeight="1">
      <c r="A61" t="s">
        <v>266</v>
      </c>
      <c r="B61" s="39" t="s">
        <v>267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38" customHeight="1"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38" customHeight="1"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38" customHeight="1">
      <c r="A64" s="40" t="s">
        <v>268</v>
      </c>
      <c r="B64" s="40" t="s">
        <v>269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45" customHeight="1">
      <c r="A65" s="40" t="s">
        <v>270</v>
      </c>
      <c r="B65" s="41" t="s">
        <v>271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45" customHeight="1">
      <c r="A66" s="40" t="s">
        <v>272</v>
      </c>
      <c r="B66" s="41" t="s">
        <v>273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45" customHeight="1">
      <c r="A67" s="40" t="s">
        <v>274</v>
      </c>
      <c r="B67" s="41" t="s">
        <v>275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45" customHeight="1">
      <c r="A68" s="40" t="s">
        <v>276</v>
      </c>
      <c r="B68" s="41" t="s">
        <v>277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45" customHeight="1">
      <c r="A69" s="40" t="s">
        <v>278</v>
      </c>
      <c r="B69" s="41" t="s">
        <v>279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45" customHeight="1">
      <c r="A70" s="40" t="s">
        <v>280</v>
      </c>
      <c r="B70" s="41" t="s">
        <v>281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45" customHeight="1">
      <c r="A71" s="40" t="s">
        <v>282</v>
      </c>
      <c r="B71" s="41" t="s">
        <v>283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45" customHeight="1">
      <c r="A72" s="40" t="s">
        <v>284</v>
      </c>
      <c r="B72" s="41" t="s">
        <v>285</v>
      </c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45" customHeight="1">
      <c r="A73" s="40" t="s">
        <v>286</v>
      </c>
      <c r="B73" s="41" t="s">
        <v>287</v>
      </c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45" customHeight="1">
      <c r="A74" s="40" t="s">
        <v>288</v>
      </c>
      <c r="B74" s="41" t="s">
        <v>289</v>
      </c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8:29"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8:29"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8:29"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8:29"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8:29"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8:29"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8:29"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8:29"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8:29"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8:29"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8:29"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8:29"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8:29"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8:29"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8:29"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8:29"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8:29"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8:29"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8:29"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8:29"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"/>
  <sheetViews>
    <sheetView showGridLines="0" workbookViewId="0"/>
  </sheetViews>
  <sheetFormatPr baseColWidth="10" defaultColWidth="8.83203125" defaultRowHeight="15"/>
  <cols>
    <col min="1" max="1" width="5" customWidth="1"/>
    <col min="2" max="2" width="92" customWidth="1"/>
    <col min="3" max="3" width="4" customWidth="1"/>
    <col min="4" max="4" width="20" customWidth="1"/>
    <col min="5" max="5" width="32" customWidth="1"/>
    <col min="6" max="6" width="20" customWidth="1"/>
    <col min="7" max="7" width="4" customWidth="1"/>
    <col min="8" max="8" width="19" customWidth="1"/>
    <col min="9" max="9" width="35" customWidth="1"/>
    <col min="10" max="11" width="21" customWidth="1"/>
  </cols>
  <sheetData>
    <row r="1" spans="1:29"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0">
      <c r="B2" s="42" t="s">
        <v>290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>
      <c r="B3" t="s">
        <v>291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>
      <c r="A5" s="43"/>
      <c r="B5" s="43" t="s">
        <v>292</v>
      </c>
      <c r="C5" s="43"/>
      <c r="D5" s="43" t="s">
        <v>292</v>
      </c>
      <c r="E5" s="43" t="s">
        <v>293</v>
      </c>
      <c r="F5" s="43" t="s">
        <v>293</v>
      </c>
      <c r="G5" s="43"/>
      <c r="H5" s="1"/>
      <c r="I5" s="43" t="s">
        <v>294</v>
      </c>
      <c r="J5" s="43" t="s">
        <v>292</v>
      </c>
      <c r="K5" s="43" t="s">
        <v>295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>
      <c r="A6" s="1" t="s">
        <v>296</v>
      </c>
      <c r="B6" s="1" t="s">
        <v>297</v>
      </c>
      <c r="C6" s="1" t="s">
        <v>298</v>
      </c>
      <c r="D6" s="31"/>
      <c r="E6" s="1" t="s">
        <v>298</v>
      </c>
      <c r="F6" s="31"/>
      <c r="G6" s="1" t="s">
        <v>298</v>
      </c>
      <c r="H6" s="1"/>
      <c r="I6" s="1" t="s">
        <v>299</v>
      </c>
      <c r="J6" s="44">
        <f>D23</f>
        <v>2974560</v>
      </c>
      <c r="K6" s="44">
        <f>F23</f>
        <v>2734560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>
      <c r="A7" s="1"/>
      <c r="B7" s="1" t="s">
        <v>300</v>
      </c>
      <c r="C7" s="1"/>
      <c r="D7" s="31"/>
      <c r="E7" s="1"/>
      <c r="F7" s="31"/>
      <c r="G7" s="1"/>
      <c r="H7" s="1"/>
      <c r="I7" s="1" t="s">
        <v>301</v>
      </c>
      <c r="J7" s="44">
        <f>D64</f>
        <v>13026199</v>
      </c>
      <c r="K7" s="44">
        <f>F64</f>
        <v>3647000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>
      <c r="A8" s="1"/>
      <c r="B8" s="1" t="s">
        <v>302</v>
      </c>
      <c r="C8" s="1"/>
      <c r="D8" s="31"/>
      <c r="E8" s="1"/>
      <c r="F8" s="31"/>
      <c r="G8" s="1"/>
      <c r="H8" s="1"/>
      <c r="I8" s="1" t="s">
        <v>303</v>
      </c>
      <c r="J8" s="44">
        <f>D66</f>
        <v>16000759</v>
      </c>
      <c r="K8" s="44">
        <f>F66</f>
        <v>6381560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>
      <c r="A9" s="1"/>
      <c r="B9" s="1" t="s">
        <v>304</v>
      </c>
      <c r="C9" s="1"/>
      <c r="D9" s="31">
        <v>1308960</v>
      </c>
      <c r="E9" s="1"/>
      <c r="F9" s="31">
        <v>1308960</v>
      </c>
      <c r="G9" s="1"/>
      <c r="H9" s="1"/>
      <c r="I9" s="1" t="s">
        <v>305</v>
      </c>
      <c r="J9" s="44">
        <f>SUM(D9,D11:D13,D17,D21)</f>
        <v>2974560</v>
      </c>
      <c r="K9" s="44">
        <f>SUM(F9,F11:F13,F17,F21)</f>
        <v>2734560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/>
      <c r="B10" s="1" t="s">
        <v>306</v>
      </c>
      <c r="C10" s="1"/>
      <c r="D10" s="31"/>
      <c r="E10" s="1"/>
      <c r="F10" s="31"/>
      <c r="G10" s="1"/>
      <c r="H10" s="1"/>
      <c r="I10" s="1" t="s">
        <v>307</v>
      </c>
      <c r="J10" s="44">
        <f>SUM(D28:D63)</f>
        <v>13064199</v>
      </c>
      <c r="K10" s="44">
        <f>SUM(F28:F63)</f>
        <v>2867000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 t="s">
        <v>308</v>
      </c>
      <c r="C11" s="1"/>
      <c r="D11" s="31">
        <v>105600</v>
      </c>
      <c r="E11" s="1"/>
      <c r="F11" s="31">
        <v>105600</v>
      </c>
      <c r="G11" s="1"/>
      <c r="H11" s="1"/>
      <c r="I11" s="1" t="s">
        <v>309</v>
      </c>
      <c r="J11" s="44">
        <f>SUM(J9:J10)</f>
        <v>16038759</v>
      </c>
      <c r="K11" s="44">
        <f>SUM(K9:K10)</f>
        <v>5601560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 t="s">
        <v>310</v>
      </c>
      <c r="C12" s="1"/>
      <c r="D12" s="31">
        <v>540000</v>
      </c>
      <c r="E12" s="1"/>
      <c r="F12" s="31">
        <v>540000</v>
      </c>
      <c r="G12" s="1"/>
      <c r="H12" s="1"/>
      <c r="I12" s="1" t="s">
        <v>311</v>
      </c>
      <c r="J12" s="44">
        <f>J11-J8</f>
        <v>38000</v>
      </c>
      <c r="K12" s="44">
        <f>K11-K8</f>
        <v>-780000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 t="s">
        <v>312</v>
      </c>
      <c r="C13" s="1"/>
      <c r="D13" s="31">
        <v>240000</v>
      </c>
      <c r="E13" s="1"/>
      <c r="F13" s="31">
        <v>240000</v>
      </c>
      <c r="G13" s="1"/>
      <c r="H13" s="1"/>
      <c r="I13" s="1" t="s">
        <v>313</v>
      </c>
      <c r="J13" s="44">
        <f>J8-J11</f>
        <v>-38000</v>
      </c>
      <c r="K13" s="44">
        <f>K8-K11</f>
        <v>780000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 t="s">
        <v>314</v>
      </c>
      <c r="C14" s="1"/>
      <c r="D14" s="31"/>
      <c r="E14" s="1"/>
      <c r="F14" s="3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 t="s">
        <v>315</v>
      </c>
      <c r="C15" s="1"/>
      <c r="D15" s="31"/>
      <c r="E15" s="1"/>
      <c r="F15" s="3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72" customHeight="1">
      <c r="A16" s="1"/>
      <c r="B16" s="1" t="s">
        <v>302</v>
      </c>
      <c r="C16" s="1"/>
      <c r="D16" s="31"/>
      <c r="E16" s="1"/>
      <c r="F16" s="31"/>
      <c r="G16" s="1"/>
      <c r="H16" s="1"/>
      <c r="I16" s="47" t="s">
        <v>316</v>
      </c>
      <c r="J16" s="47"/>
      <c r="K16" s="4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 t="s">
        <v>317</v>
      </c>
      <c r="C17" s="1"/>
      <c r="D17" s="31">
        <v>240000</v>
      </c>
      <c r="E17" s="1"/>
      <c r="F17" s="3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54" customHeight="1">
      <c r="A18" s="1"/>
      <c r="B18" s="1" t="s">
        <v>306</v>
      </c>
      <c r="C18" s="1"/>
      <c r="D18" s="31"/>
      <c r="E18" s="1"/>
      <c r="F18" s="31"/>
      <c r="G18" s="1"/>
      <c r="H18" s="1"/>
      <c r="I18" s="47" t="s">
        <v>318</v>
      </c>
      <c r="J18" s="47"/>
      <c r="K18" s="4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 t="s">
        <v>319</v>
      </c>
      <c r="C19" s="1"/>
      <c r="D19" s="31"/>
      <c r="E19" s="1"/>
      <c r="F19" s="3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 t="s">
        <v>302</v>
      </c>
      <c r="C20" s="1"/>
      <c r="D20" s="31"/>
      <c r="E20" s="1"/>
      <c r="F20" s="3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 t="s">
        <v>320</v>
      </c>
      <c r="C21" s="1"/>
      <c r="D21" s="31">
        <v>540000</v>
      </c>
      <c r="E21" s="1"/>
      <c r="F21" s="31">
        <v>540000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 t="s">
        <v>306</v>
      </c>
      <c r="C22" s="1"/>
      <c r="D22" s="31"/>
      <c r="E22" s="1"/>
      <c r="F22" s="3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 t="s">
        <v>321</v>
      </c>
      <c r="C23" s="1" t="s">
        <v>298</v>
      </c>
      <c r="D23" s="31">
        <v>2974560</v>
      </c>
      <c r="E23" s="1" t="s">
        <v>298</v>
      </c>
      <c r="F23" s="31">
        <v>2734560</v>
      </c>
      <c r="G23" s="1" t="s">
        <v>298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31"/>
      <c r="E24" s="1"/>
      <c r="F24" s="3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 t="s">
        <v>322</v>
      </c>
      <c r="B25" s="1" t="s">
        <v>323</v>
      </c>
      <c r="C25" s="1"/>
      <c r="D25" s="31"/>
      <c r="E25" s="1"/>
      <c r="F25" s="3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 t="s">
        <v>300</v>
      </c>
      <c r="C26" s="1"/>
      <c r="D26" s="31"/>
      <c r="E26" s="1"/>
      <c r="F26" s="3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 t="s">
        <v>324</v>
      </c>
      <c r="C27" s="1"/>
      <c r="D27" s="31"/>
      <c r="E27" s="1"/>
      <c r="F27" s="3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 t="s">
        <v>325</v>
      </c>
      <c r="C28" s="1"/>
      <c r="D28" s="31">
        <v>200000</v>
      </c>
      <c r="E28" s="1"/>
      <c r="F28" s="31">
        <v>300000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 t="s">
        <v>326</v>
      </c>
      <c r="C29" s="1"/>
      <c r="D29" s="31">
        <v>48000</v>
      </c>
      <c r="E29" s="1"/>
      <c r="F29" s="31">
        <v>48000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 t="s">
        <v>327</v>
      </c>
      <c r="C30" s="1"/>
      <c r="D30" s="31"/>
      <c r="E30" s="1"/>
      <c r="F30" s="3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 t="s">
        <v>328</v>
      </c>
      <c r="C31" s="1"/>
      <c r="D31" s="31">
        <v>200000</v>
      </c>
      <c r="E31" s="1"/>
      <c r="F31" s="31">
        <v>300000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 t="s">
        <v>329</v>
      </c>
      <c r="C32" s="1"/>
      <c r="D32" s="31">
        <v>200000</v>
      </c>
      <c r="E32" s="1"/>
      <c r="F32" s="31">
        <v>300000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 t="s">
        <v>330</v>
      </c>
      <c r="C33" s="1"/>
      <c r="D33" s="31">
        <v>390000</v>
      </c>
      <c r="E33" s="1"/>
      <c r="F33" s="31">
        <v>390000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 t="s">
        <v>331</v>
      </c>
      <c r="C34" s="1"/>
      <c r="D34" s="31">
        <v>30000</v>
      </c>
      <c r="E34" s="1"/>
      <c r="F34" s="3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 t="s">
        <v>332</v>
      </c>
      <c r="C35" s="1"/>
      <c r="D35" s="31">
        <v>25000</v>
      </c>
      <c r="E35" s="1"/>
      <c r="F35" s="3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 t="s">
        <v>333</v>
      </c>
      <c r="C36" s="1"/>
      <c r="D36" s="31">
        <v>500000</v>
      </c>
      <c r="E36" s="1" t="s">
        <v>334</v>
      </c>
      <c r="F36" s="31">
        <v>1500000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 t="s">
        <v>335</v>
      </c>
      <c r="C37" s="1"/>
      <c r="D37" s="31">
        <v>7000</v>
      </c>
      <c r="E37" s="1"/>
      <c r="F37" s="31">
        <v>7000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 t="s">
        <v>336</v>
      </c>
      <c r="C38" s="1"/>
      <c r="D38" s="31">
        <v>10000</v>
      </c>
      <c r="E38" s="1"/>
      <c r="F38" s="31">
        <v>10000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 t="s">
        <v>337</v>
      </c>
      <c r="C39" s="1"/>
      <c r="D39" s="31">
        <v>12000</v>
      </c>
      <c r="E39" s="1"/>
      <c r="F39" s="31">
        <v>12000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 t="s">
        <v>314</v>
      </c>
      <c r="C40" s="1"/>
      <c r="D40" s="31"/>
      <c r="E40" s="1"/>
      <c r="F40" s="3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 t="s">
        <v>338</v>
      </c>
      <c r="C41" s="1"/>
      <c r="D41" s="31"/>
      <c r="E41" s="1"/>
      <c r="F41" s="3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 t="s">
        <v>339</v>
      </c>
      <c r="C42" s="1"/>
      <c r="D42" s="31"/>
      <c r="E42" s="1"/>
      <c r="F42" s="3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 t="s">
        <v>340</v>
      </c>
      <c r="C43" s="1"/>
      <c r="D43" s="31">
        <v>220000</v>
      </c>
      <c r="E43" s="1"/>
      <c r="F43" s="3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 t="s">
        <v>341</v>
      </c>
      <c r="C44" s="1"/>
      <c r="D44" s="31">
        <v>156664</v>
      </c>
      <c r="E44" s="1"/>
      <c r="F44" s="3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 t="s">
        <v>342</v>
      </c>
      <c r="C45" s="1"/>
      <c r="D45" s="31">
        <v>7050</v>
      </c>
      <c r="E45" s="1"/>
      <c r="F45" s="3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 t="s">
        <v>343</v>
      </c>
      <c r="C46" s="1"/>
      <c r="D46" s="31">
        <v>40485</v>
      </c>
      <c r="E46" s="1"/>
      <c r="F46" s="3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 t="s">
        <v>344</v>
      </c>
      <c r="C47" s="1"/>
      <c r="D47" s="31">
        <v>21000</v>
      </c>
      <c r="E47" s="1"/>
      <c r="F47" s="3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 t="s">
        <v>345</v>
      </c>
      <c r="C48" s="1"/>
      <c r="D48" s="31">
        <v>9000000</v>
      </c>
      <c r="E48" s="1"/>
      <c r="F48" s="3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 t="s">
        <v>346</v>
      </c>
      <c r="C49" s="1"/>
      <c r="D49" s="31">
        <v>560000</v>
      </c>
      <c r="E49" s="1"/>
      <c r="F49" s="3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 t="s">
        <v>347</v>
      </c>
      <c r="C50" s="1"/>
      <c r="D50" s="31">
        <v>220000</v>
      </c>
      <c r="E50" s="1"/>
      <c r="F50" s="3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 t="s">
        <v>348</v>
      </c>
      <c r="C51" s="1"/>
      <c r="D51" s="31">
        <v>20000</v>
      </c>
      <c r="E51" s="1"/>
      <c r="F51" s="3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 t="s">
        <v>349</v>
      </c>
      <c r="C52" s="1"/>
      <c r="D52" s="31">
        <v>24000</v>
      </c>
      <c r="E52" s="1"/>
      <c r="F52" s="3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 t="s">
        <v>350</v>
      </c>
      <c r="C53" s="1"/>
      <c r="D53" s="31">
        <v>6000</v>
      </c>
      <c r="E53" s="1"/>
      <c r="F53" s="3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 t="s">
        <v>351</v>
      </c>
      <c r="C54" s="1"/>
      <c r="D54" s="31">
        <v>4000</v>
      </c>
      <c r="E54" s="1"/>
      <c r="F54" s="3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 t="s">
        <v>352</v>
      </c>
      <c r="C55" s="1"/>
      <c r="D55" s="31">
        <v>26000</v>
      </c>
      <c r="E55" s="1"/>
      <c r="F55" s="3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 t="s">
        <v>353</v>
      </c>
      <c r="C56" s="1"/>
      <c r="D56" s="31">
        <v>70000</v>
      </c>
      <c r="E56" s="1"/>
      <c r="F56" s="3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 t="s">
        <v>354</v>
      </c>
      <c r="C57" s="1"/>
      <c r="D57" s="31">
        <v>35000</v>
      </c>
      <c r="E57" s="1"/>
      <c r="F57" s="3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 t="s">
        <v>355</v>
      </c>
      <c r="C58" s="1"/>
      <c r="D58" s="31">
        <v>125000</v>
      </c>
      <c r="E58" s="1"/>
      <c r="F58" s="3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 t="s">
        <v>356</v>
      </c>
      <c r="C59" s="1"/>
      <c r="D59" s="31">
        <v>250000</v>
      </c>
      <c r="E59" s="1"/>
      <c r="F59" s="3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 t="s">
        <v>357</v>
      </c>
      <c r="C60" s="1"/>
      <c r="D60" s="31">
        <v>9000</v>
      </c>
      <c r="E60" s="1"/>
      <c r="F60" s="3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 t="s">
        <v>358</v>
      </c>
      <c r="C61" s="1"/>
      <c r="D61" s="31">
        <v>160000</v>
      </c>
      <c r="E61" s="1"/>
      <c r="F61" s="3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 t="s">
        <v>359</v>
      </c>
      <c r="C62" s="1"/>
      <c r="D62" s="31">
        <v>450000</v>
      </c>
      <c r="E62" s="1"/>
      <c r="F62" s="3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 t="s">
        <v>360</v>
      </c>
      <c r="C63" s="1"/>
      <c r="D63" s="31">
        <v>38000</v>
      </c>
      <c r="E63" s="1"/>
      <c r="F63" s="3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 t="s">
        <v>361</v>
      </c>
      <c r="C64" s="1" t="s">
        <v>298</v>
      </c>
      <c r="D64" s="31">
        <v>13026199</v>
      </c>
      <c r="E64" s="1"/>
      <c r="F64" s="31">
        <v>3647000</v>
      </c>
      <c r="G64" s="1" t="s">
        <v>298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31"/>
      <c r="E65" s="1"/>
      <c r="F65" s="3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 t="s">
        <v>362</v>
      </c>
      <c r="C66" s="1" t="s">
        <v>298</v>
      </c>
      <c r="D66" s="31">
        <v>16000759</v>
      </c>
      <c r="E66" s="1"/>
      <c r="F66" s="31">
        <v>6381560</v>
      </c>
      <c r="G66" s="1" t="s">
        <v>298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2:29"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2:29"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2:29"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2:29"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2:29"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2:29"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2:29"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2:29"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2:29"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2:29"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2:29"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2:29"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2:29"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2:29"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2:29"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2:29"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2:29"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2:29"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2:29"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2:29"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</sheetData>
  <mergeCells count="2">
    <mergeCell ref="I16:K16"/>
    <mergeCell ref="I18:K18"/>
  </mergeCells>
  <conditionalFormatting sqref="J12:K12">
    <cfRule type="cellIs" dxfId="0" priority="1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24-month Gantt</vt:lpstr>
      <vt:lpstr>Schedule details</vt:lpstr>
      <vt:lpstr>Budget 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mclein onza</cp:lastModifiedBy>
  <dcterms:modified xsi:type="dcterms:W3CDTF">2026-10-17T15:54:34Z</dcterms:modified>
</cp:coreProperties>
</file>