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49fdf99a9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4-month Gantt" sheetId="1" r:id="Rbed37864dd0b40a6"/>
    <x:sheet xmlns:r="http://schemas.openxmlformats.org/officeDocument/2006/relationships" name="Schedule details" sheetId="2" r:id="R4f09f52220a64ddb"/>
    <x:sheet xmlns:r="http://schemas.openxmlformats.org/officeDocument/2006/relationships" name="Budget source" sheetId="3" r:id="R7cbc5f30624d48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&quot;M&quot;0"/>
    <x:numFmt numFmtId="201" formatCode="0"/>
    <x:numFmt numFmtId="202" formatCode=";;;"/>
    <x:numFmt numFmtId="203" formatCode="General"/>
    <x:numFmt numFmtId="204" formatCode="&quot;PHP &quot;#,##0"/>
    <x:numFmt numFmtId="205" formatCode="#,##0"/>
  </x:numFmts>
  <x:fonts count="7">
    <x:font>
      <x:sz val="11"/>
      <x:name val="Carlito"/>
    </x:font>
    <x:font>
      <x:sz val="10"/>
      <x:color rgb="FF203047"/>
      <x:name val="Arial"/>
    </x:font>
    <x:font>
      <x:b/>
      <x:sz val="16"/>
      <x:color rgb="FF203047"/>
      <x:name val="Arial"/>
    </x:font>
    <x:font>
      <x:b/>
      <x:sz val="10"/>
      <x:color rgb="FFFFFFFF"/>
      <x:name val="Arial"/>
    </x:font>
    <x:font>
      <x:b/>
      <x:sz val="10"/>
      <x:color rgb="FF203047"/>
      <x:name val="Arial"/>
    </x:font>
    <x:font>
      <x:sz val="10"/>
      <x:color rgb="FF865510"/>
      <x:name val="Arial"/>
    </x:font>
    <x:font>
      <x:b/>
      <x:sz val="10"/>
      <x:color rgb="FF19384B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9384B"/>
      </x:patternFill>
    </x:fill>
    <x:fill>
      <x:patternFill patternType="solid">
        <x:fgColor rgb="FF4169A1"/>
      </x:patternFill>
    </x:fill>
    <x:fill>
      <x:patternFill patternType="solid">
        <x:fgColor rgb="FFFFF2CC"/>
      </x:patternFill>
    </x:fill>
    <x:fill>
      <x:patternFill patternType="solid">
        <x:fgColor rgb="FF248B81"/>
      </x:patternFill>
    </x:fill>
    <x:fill>
      <x:patternFill patternType="solid">
        <x:fgColor rgb="FF527CB7"/>
      </x:patternFill>
    </x:fill>
    <x:fill>
      <x:patternFill patternType="solid">
        <x:fgColor rgb="FF8565A8"/>
      </x:patternFill>
    </x:fill>
    <x:fill>
      <x:patternFill patternType="solid">
        <x:fgColor rgb="FFB77E38"/>
      </x:patternFill>
    </x:fill>
    <x:fill>
      <x:patternFill patternType="solid">
        <x:fgColor rgb="FF64748B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  <x:border>
      <x:left style="medium">
        <x:color rgb="FF19384B"/>
      </x:left>
      <x:right/>
      <x:top/>
      <x:bottom/>
      <x:diagonal/>
    </x:border>
    <x:border>
      <x:left style="medium">
        <x:color rgb="FF19384B"/>
      </x:left>
      <x:right/>
      <x:top/>
      <x:bottom style="thin">
        <x:color rgb="FFFFFFFF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horizontal="center"/>
    </x:xf>
    <x:xf numFmtId="202" fontId="1" fillId="0" borderId="1" xfId="0" applyNumberFormat="1" applyFont="1" applyFill="1" applyBorder="1" applyAlignment="1">
      <x:alignment horizontal="center"/>
    </x:xf>
    <x:xf numFmtId="203" fontId="1" fillId="0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1" fontId="6" fillId="4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1" fillId="6" borderId="0" xfId="0" applyNumberFormat="1" applyFont="1" applyFill="1" applyBorder="1"/>
    <x:xf numFmtId="0" fontId="3" fillId="6" borderId="0" xfId="0" applyNumberFormat="1" applyFont="1" applyFill="1" applyBorder="1"/>
    <x:xf numFmtId="0" fontId="1" fillId="7" borderId="0" xfId="0" applyNumberFormat="1" applyFont="1" applyFill="1" applyBorder="1"/>
    <x:xf numFmtId="0" fontId="3" fillId="7" borderId="0" xfId="0" applyNumberFormat="1" applyFont="1" applyFill="1" applyBorder="1"/>
    <x:xf numFmtId="0" fontId="1" fillId="8" borderId="0" xfId="0" applyNumberFormat="1" applyFont="1" applyFill="1" applyBorder="1"/>
    <x:xf numFmtId="0" fontId="3" fillId="8" borderId="0" xfId="0" applyNumberFormat="1" applyFont="1" applyFill="1" applyBorder="1"/>
    <x:xf numFmtId="0" fontId="1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200" fontId="3" fillId="2" borderId="2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/>
    <x:xf numFmtId="202" fontId="1" fillId="0" borderId="3" xfId="0" applyNumberFormat="1" applyFont="1" applyFill="1" applyBorder="1" applyAlignment="1">
      <x:alignment horizontal="center"/>
    </x:xf>
    <x:xf numFmtId="203" fontId="6" fillId="0" borderId="3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/>
    <x:xf numFmtId="0" fontId="3" fillId="6" borderId="2" xfId="0" applyNumberFormat="1" applyFont="1" applyFill="1" applyBorder="1"/>
    <x:xf numFmtId="0" fontId="3" fillId="7" borderId="2" xfId="0" applyNumberFormat="1" applyFont="1" applyFill="1" applyBorder="1"/>
    <x:xf numFmtId="0" fontId="3" fillId="8" borderId="2" xfId="0" applyNumberFormat="1" applyFont="1" applyFill="1" applyBorder="1"/>
    <x:xf numFmtId="0" fontId="3" fillId="9" borderId="2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  <x:dxfs count="29">
    <x:dxf>
      <x:fill>
        <x:patternFill patternType="solid">
          <x:bgColor rgb="FF4169A1"/>
        </x:patternFill>
      </x:fill>
    </x:dxf>
    <x:dxf>
      <x:fill>
        <x:patternFill patternType="solid">
          <x:bgColor rgb="FF4169A1"/>
        </x:patternFill>
      </x:fill>
    </x:dxf>
    <x:dxf>
      <x:fill>
        <x:patternFill patternType="solid">
          <x:bgColor rgb="FF4169A1"/>
        </x:patternFill>
      </x:fill>
    </x:dxf>
    <x:dxf>
      <x:fill>
        <x:patternFill patternType="solid">
          <x:bgColor rgb="FF4169A1"/>
        </x:patternFill>
      </x:fill>
    </x:dxf>
    <x:dxf>
      <x:fill>
        <x:patternFill patternType="solid">
          <x:bgColor rgb="FF4169A1"/>
        </x:patternFill>
      </x:fill>
    </x:dxf>
    <x:dxf>
      <x:fill>
        <x:patternFill patternType="solid">
          <x:bgColor rgb="FF4169A1"/>
        </x:patternFill>
      </x:fill>
    </x:dxf>
    <x:dxf>
      <x:fill>
        <x:patternFill patternType="solid">
          <x:bgColor rgb="FF4169A1"/>
        </x:patternFill>
      </x:fill>
    </x:dxf>
    <x:dxf>
      <x:fill>
        <x:patternFill patternType="solid">
          <x:bgColor rgb="FF248B81"/>
        </x:patternFill>
      </x:fill>
    </x:dxf>
    <x:dxf>
      <x:fill>
        <x:patternFill patternType="solid">
          <x:bgColor rgb="FF248B81"/>
        </x:patternFill>
      </x:fill>
    </x:dxf>
    <x:dxf>
      <x:fill>
        <x:patternFill patternType="solid">
          <x:bgColor rgb="FF248B81"/>
        </x:patternFill>
      </x:fill>
    </x:dxf>
    <x:dxf>
      <x:fill>
        <x:patternFill patternType="solid">
          <x:bgColor rgb="FF248B81"/>
        </x:patternFill>
      </x:fill>
    </x:dxf>
    <x:dxf>
      <x:fill>
        <x:patternFill patternType="solid">
          <x:bgColor rgb="FF527CB7"/>
        </x:patternFill>
      </x:fill>
    </x:dxf>
    <x:dxf>
      <x:fill>
        <x:patternFill patternType="solid">
          <x:bgColor rgb="FF527CB7"/>
        </x:patternFill>
      </x:fill>
    </x:dxf>
    <x:dxf>
      <x:fill>
        <x:patternFill patternType="solid">
          <x:bgColor rgb="FF527CB7"/>
        </x:patternFill>
      </x:fill>
    </x:dxf>
    <x:dxf>
      <x:fill>
        <x:patternFill patternType="solid">
          <x:bgColor rgb="FF527CB7"/>
        </x:patternFill>
      </x:fill>
    </x:dxf>
    <x:dxf>
      <x:fill>
        <x:patternFill patternType="solid">
          <x:bgColor rgb="FF527CB7"/>
        </x:patternFill>
      </x:fill>
    </x:dxf>
    <x:dxf>
      <x:fill>
        <x:patternFill patternType="solid">
          <x:bgColor rgb="FF8565A8"/>
        </x:patternFill>
      </x:fill>
    </x:dxf>
    <x:dxf>
      <x:fill>
        <x:patternFill patternType="solid">
          <x:bgColor rgb="FF8565A8"/>
        </x:patternFill>
      </x:fill>
    </x:dxf>
    <x:dxf>
      <x:fill>
        <x:patternFill patternType="solid">
          <x:bgColor rgb="FF8565A8"/>
        </x:patternFill>
      </x:fill>
    </x:dxf>
    <x:dxf>
      <x:fill>
        <x:patternFill patternType="solid">
          <x:bgColor rgb="FF8565A8"/>
        </x:patternFill>
      </x:fill>
    </x:dxf>
    <x:dxf>
      <x:fill>
        <x:patternFill patternType="solid">
          <x:bgColor rgb="FF8565A8"/>
        </x:patternFill>
      </x:fill>
    </x:dxf>
    <x:dxf>
      <x:fill>
        <x:patternFill patternType="solid">
          <x:bgColor rgb="FF8565A8"/>
        </x:patternFill>
      </x:fill>
    </x:dxf>
    <x:dxf>
      <x:fill>
        <x:patternFill patternType="solid">
          <x:bgColor rgb="FFB77E38"/>
        </x:patternFill>
      </x:fill>
    </x:dxf>
    <x:dxf>
      <x:fill>
        <x:patternFill patternType="solid">
          <x:bgColor rgb="FFB77E38"/>
        </x:patternFill>
      </x:fill>
    </x:dxf>
    <x:dxf>
      <x:fill>
        <x:patternFill patternType="solid">
          <x:bgColor rgb="FFB77E38"/>
        </x:patternFill>
      </x:fill>
    </x:dxf>
    <x:dxf>
      <x:fill>
        <x:patternFill patternType="solid">
          <x:bgColor rgb="FFB77E38"/>
        </x:patternFill>
      </x:fill>
    </x:dxf>
    <x:dxf>
      <x:fill>
        <x:patternFill patternType="solid">
          <x:bgColor rgb="FF64748B"/>
        </x:patternFill>
      </x:fill>
    </x:dxf>
    <x:dxf>
      <x:fill>
        <x:patternFill patternType="solid">
          <x:bgColor rgb="FF64748B"/>
        </x:patternFill>
      </x:fill>
    </x:dxf>
    <x:dxf>
      <x:fill>
        <x:patternFill patternType="solid">
          <x:bgColor rgb="FF64748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1d422e59ec497b" /><Relationship Type="http://schemas.openxmlformats.org/officeDocument/2006/relationships/theme" Target="/xl/theme/theme1.xml" Id="R60a6a5c1e6b24a72" /><Relationship Type="http://schemas.openxmlformats.org/officeDocument/2006/relationships/sharedStrings" Target="/xl/sharedStrings.xml" Id="R86b818e5837c4599" /><Relationship Type="http://schemas.openxmlformats.org/officeDocument/2006/relationships/worksheet" Target="/xl/worksheets/sheet1.xml" Id="Rbed37864dd0b40a6" /><Relationship Type="http://schemas.openxmlformats.org/officeDocument/2006/relationships/worksheet" Target="/xl/worksheets/sheet2.xml" Id="R4f09f52220a64ddb" /><Relationship Type="http://schemas.openxmlformats.org/officeDocument/2006/relationships/worksheet" Target="/xl/worksheets/sheet3.xml" Id="R7cbc5f30624d48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8B81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5" hidden="0" customWidth="1"/>
    <x:col min="2" max="2" width="61" hidden="0" customWidth="1"/>
    <x:col min="3" max="3" width="7" hidden="0" customWidth="1"/>
    <x:col min="4" max="4" width="7" hidden="0" customWidth="1"/>
    <x:col min="5" max="5" width="7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0" max="10" width="4.5" hidden="0" customWidth="1"/>
    <x:col min="11" max="11" width="4.5" hidden="0" customWidth="1"/>
    <x:col min="12" max="12" width="4.5" hidden="0" customWidth="1"/>
    <x:col min="13" max="13" width="4.5" hidden="0" customWidth="1"/>
    <x:col min="14" max="14" width="4.5" hidden="0" customWidth="1"/>
    <x:col min="15" max="15" width="4.5" hidden="0" customWidth="1"/>
    <x:col min="16" max="16" width="4.5" hidden="0" customWidth="1"/>
    <x:col min="17" max="17" width="4.5" hidden="0" customWidth="1"/>
    <x:col min="18" max="18" width="4.5" hidden="0" customWidth="1"/>
    <x:col min="19" max="19" width="4.5" hidden="0" customWidth="1"/>
    <x:col min="20" max="20" width="4.5" hidden="0" customWidth="1"/>
    <x:col min="21" max="21" width="4.5" hidden="0" customWidth="1"/>
    <x:col min="22" max="22" width="4.5" hidden="0" customWidth="1"/>
    <x:col min="23" max="23" width="4.5" hidden="0" customWidth="1"/>
    <x:col min="24" max="24" width="4.5" hidden="0" customWidth="1"/>
    <x:col min="25" max="25" width="4.5" hidden="0" customWidth="1"/>
    <x:col min="26" max="26" width="4.5" hidden="0" customWidth="1"/>
    <x:col min="27" max="27" width="4.5" hidden="0" customWidth="1"/>
    <x:col min="28" max="28" width="4.5" hidden="0" customWidth="1"/>
    <x:col min="29" max="29" width="4.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</x:row>
    <x:row r="2" ht="30" customHeight="1">
      <x:c r="A2" s="1"/>
      <x:c r="B2" s="2" t="str">
        <x:v>advanCARE — Year 1 &amp; Year 2 Gantt chart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</x:row>
    <x:row r="3">
      <x:c r="A3" s="1"/>
      <x:c r="B3" s="1" t="str">
        <x:v>Proposed 24-month implementation schedule. M1 = project start; calendar date pending.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</x:row>
    <x:row r="4">
      <x:c r="A4" s="1"/>
      <x:c r="B4" s="1" t="str">
        <x:v>Colored bars = activity window. ◆ = milestone. Amber section = proposed Months 19–24.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</x:row>
    <x:row r="6" ht="23" customHeight="1">
      <x:c r="A6" s="1"/>
      <x:c r="B6" s="1"/>
      <x:c r="C6" s="1"/>
      <x:c r="D6" s="1"/>
      <x:c r="E6" s="1"/>
      <x:c r="F6" s="5" t="str">
        <x:v>YEAR 1</x:v>
      </x:c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33" t="str">
        <x:v>YEAR 2</x:v>
      </x:c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</x:row>
    <x:row r="7" ht="23" customHeight="1">
      <x:c r="A7" s="5" t="str">
        <x:v>ID</x:v>
      </x:c>
      <x:c r="B7" s="5" t="str">
        <x:v>Activity / milestone</x:v>
      </x:c>
      <x:c r="C7" s="5" t="str">
        <x:v>Start</x:v>
      </x:c>
      <x:c r="D7" s="5" t="str">
        <x:v>End</x:v>
      </x:c>
      <x:c r="E7" s="5" t="str">
        <x:v>Months</x:v>
      </x:c>
      <x:c r="F7" s="6" t="n">
        <x:v>1</x:v>
      </x:c>
      <x:c r="G7" s="6" t="n">
        <x:v>2</x:v>
      </x:c>
      <x:c r="H7" s="6" t="n">
        <x:v>3</x:v>
      </x:c>
      <x:c r="I7" s="6" t="n">
        <x:v>4</x:v>
      </x:c>
      <x:c r="J7" s="6" t="n">
        <x:v>5</x:v>
      </x:c>
      <x:c r="K7" s="6" t="n">
        <x:v>6</x:v>
      </x:c>
      <x:c r="L7" s="6" t="n">
        <x:v>7</x:v>
      </x:c>
      <x:c r="M7" s="6" t="n">
        <x:v>8</x:v>
      </x:c>
      <x:c r="N7" s="6" t="n">
        <x:v>9</x:v>
      </x:c>
      <x:c r="O7" s="6" t="n">
        <x:v>10</x:v>
      </x:c>
      <x:c r="P7" s="6" t="n">
        <x:v>11</x:v>
      </x:c>
      <x:c r="Q7" s="6" t="n">
        <x:v>12</x:v>
      </x:c>
      <x:c r="R7" s="34" t="n">
        <x:v>13</x:v>
      </x:c>
      <x:c r="S7" s="6" t="n">
        <x:v>14</x:v>
      </x:c>
      <x:c r="T7" s="6" t="n">
        <x:v>15</x:v>
      </x:c>
      <x:c r="U7" s="6" t="n">
        <x:v>16</x:v>
      </x:c>
      <x:c r="V7" s="6" t="n">
        <x:v>17</x:v>
      </x:c>
      <x:c r="W7" s="6" t="n">
        <x:v>18</x:v>
      </x:c>
      <x:c r="X7" s="6" t="n">
        <x:v>19</x:v>
      </x:c>
      <x:c r="Y7" s="6" t="n">
        <x:v>20</x:v>
      </x:c>
      <x:c r="Z7" s="6" t="n">
        <x:v>21</x:v>
      </x:c>
      <x:c r="AA7" s="6" t="n">
        <x:v>22</x:v>
      </x:c>
      <x:c r="AB7" s="6" t="n">
        <x:v>23</x:v>
      </x:c>
      <x:c r="AC7" s="6" t="n">
        <x:v>24</x:v>
      </x:c>
    </x:row>
    <x:row r="8" ht="23" customHeight="1">
      <x:c r="A8" s="10"/>
      <x:c r="B8" s="10" t="str">
        <x:v>FOUNDATION &amp; VALIDATION</x:v>
      </x:c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35"/>
      <x:c r="S8" s="10"/>
      <x:c r="T8" s="10"/>
      <x:c r="U8" s="10"/>
      <x:c r="V8" s="10"/>
      <x:c r="W8" s="10"/>
      <x:c r="X8" s="10"/>
      <x:c r="Y8" s="10"/>
      <x:c r="Z8" s="10"/>
      <x:c r="AA8" s="10"/>
      <x:c r="AB8" s="10"/>
      <x:c r="AC8" s="10"/>
    </x:row>
    <x:row r="9" ht="23" customHeight="1">
      <x:c r="A9" s="1" t="str">
        <x:v>01</x:v>
      </x:c>
      <x:c r="B9" s="1" t="str">
        <x:v>Mobilize project team and governance</x:v>
      </x:c>
      <x:c r="C9" s="13" t="n">
        <x:v>1</x:v>
      </x:c>
      <x:c r="D9" s="13" t="n">
        <x:v>1</x:v>
      </x:c>
      <x:c r="E9" s="14" t="n">
        <x:f>D9-C9+1</x:f>
        <x:v>1</x:v>
      </x:c>
      <x:c r="F9" s="17" t="n">
        <x:f>IF(AND(F$7&gt;=$C9,F$7&lt;=$D9),1,0)</x:f>
        <x:v>1</x:v>
      </x:c>
      <x:c r="G9" s="17" t="n">
        <x:f>IF(AND(G$7&gt;=$C9,G$7&lt;=$D9),1,0)</x:f>
        <x:v>0</x:v>
      </x:c>
      <x:c r="H9" s="17" t="n">
        <x:f>IF(AND(H$7&gt;=$C9,H$7&lt;=$D9),1,0)</x:f>
        <x:v>0</x:v>
      </x:c>
      <x:c r="I9" s="17" t="n">
        <x:f>IF(AND(I$7&gt;=$C9,I$7&lt;=$D9),1,0)</x:f>
        <x:v>0</x:v>
      </x:c>
      <x:c r="J9" s="17" t="n">
        <x:f>IF(AND(J$7&gt;=$C9,J$7&lt;=$D9),1,0)</x:f>
        <x:v>0</x:v>
      </x:c>
      <x:c r="K9" s="17" t="n">
        <x:f>IF(AND(K$7&gt;=$C9,K$7&lt;=$D9),1,0)</x:f>
        <x:v>0</x:v>
      </x:c>
      <x:c r="L9" s="17" t="n">
        <x:f>IF(AND(L$7&gt;=$C9,L$7&lt;=$D9),1,0)</x:f>
        <x:v>0</x:v>
      </x:c>
      <x:c r="M9" s="17" t="n">
        <x:f>IF(AND(M$7&gt;=$C9,M$7&lt;=$D9),1,0)</x:f>
        <x:v>0</x:v>
      </x:c>
      <x:c r="N9" s="17" t="n">
        <x:f>IF(AND(N$7&gt;=$C9,N$7&lt;=$D9),1,0)</x:f>
        <x:v>0</x:v>
      </x:c>
      <x:c r="O9" s="17" t="n">
        <x:f>IF(AND(O$7&gt;=$C9,O$7&lt;=$D9),1,0)</x:f>
        <x:v>0</x:v>
      </x:c>
      <x:c r="P9" s="17" t="n">
        <x:f>IF(AND(P$7&gt;=$C9,P$7&lt;=$D9),1,0)</x:f>
        <x:v>0</x:v>
      </x:c>
      <x:c r="Q9" s="17" t="n">
        <x:f>IF(AND(Q$7&gt;=$C9,Q$7&lt;=$D9),1,0)</x:f>
        <x:v>0</x:v>
      </x:c>
      <x:c r="R9" s="36" t="n">
        <x:f>IF(AND(R$7&gt;=$C9,R$7&lt;=$D9),1,0)</x:f>
        <x:v>0</x:v>
      </x:c>
      <x:c r="S9" s="17" t="n">
        <x:f>IF(AND(S$7&gt;=$C9,S$7&lt;=$D9),1,0)</x:f>
        <x:v>0</x:v>
      </x:c>
      <x:c r="T9" s="17" t="n">
        <x:f>IF(AND(T$7&gt;=$C9,T$7&lt;=$D9),1,0)</x:f>
        <x:v>0</x:v>
      </x:c>
      <x:c r="U9" s="17" t="n">
        <x:f>IF(AND(U$7&gt;=$C9,U$7&lt;=$D9),1,0)</x:f>
        <x:v>0</x:v>
      </x:c>
      <x:c r="V9" s="17" t="n">
        <x:f>IF(AND(V$7&gt;=$C9,V$7&lt;=$D9),1,0)</x:f>
        <x:v>0</x:v>
      </x:c>
      <x:c r="W9" s="17" t="n">
        <x:f>IF(AND(W$7&gt;=$C9,W$7&lt;=$D9),1,0)</x:f>
        <x:v>0</x:v>
      </x:c>
      <x:c r="X9" s="17" t="n">
        <x:f>IF(AND(X$7&gt;=$C9,X$7&lt;=$D9),1,0)</x:f>
        <x:v>0</x:v>
      </x:c>
      <x:c r="Y9" s="17" t="n">
        <x:f>IF(AND(Y$7&gt;=$C9,Y$7&lt;=$D9),1,0)</x:f>
        <x:v>0</x:v>
      </x:c>
      <x:c r="Z9" s="17" t="n">
        <x:f>IF(AND(Z$7&gt;=$C9,Z$7&lt;=$D9),1,0)</x:f>
        <x:v>0</x:v>
      </x:c>
      <x:c r="AA9" s="17" t="n">
        <x:f>IF(AND(AA$7&gt;=$C9,AA$7&lt;=$D9),1,0)</x:f>
        <x:v>0</x:v>
      </x:c>
      <x:c r="AB9" s="17" t="n">
        <x:f>IF(AND(AB$7&gt;=$C9,AB$7&lt;=$D9),1,0)</x:f>
        <x:v>0</x:v>
      </x:c>
      <x:c r="AC9" s="17" t="n">
        <x:f>IF(AND(AC$7&gt;=$C9,AC$7&lt;=$D9),1,0)</x:f>
        <x:v>0</x:v>
      </x:c>
    </x:row>
    <x:row r="10" ht="23" customHeight="1">
      <x:c r="A10" s="1" t="str">
        <x:v>02</x:v>
      </x:c>
      <x:c r="B10" s="1" t="str">
        <x:v>LGU / barangay MOUs and cost sharing</x:v>
      </x:c>
      <x:c r="C10" s="13" t="n">
        <x:v>1</x:v>
      </x:c>
      <x:c r="D10" s="13" t="n">
        <x:v>2</x:v>
      </x:c>
      <x:c r="E10" s="14" t="n">
        <x:f>D10-C10+1</x:f>
        <x:v>2</x:v>
      </x:c>
      <x:c r="F10" s="17" t="n">
        <x:f>IF(AND(F$7&gt;=$C10,F$7&lt;=$D10),1,0)</x:f>
        <x:v>1</x:v>
      </x:c>
      <x:c r="G10" s="17" t="n">
        <x:f>IF(AND(G$7&gt;=$C10,G$7&lt;=$D10),1,0)</x:f>
        <x:v>1</x:v>
      </x:c>
      <x:c r="H10" s="17" t="n">
        <x:f>IF(AND(H$7&gt;=$C10,H$7&lt;=$D10),1,0)</x:f>
        <x:v>0</x:v>
      </x:c>
      <x:c r="I10" s="17" t="n">
        <x:f>IF(AND(I$7&gt;=$C10,I$7&lt;=$D10),1,0)</x:f>
        <x:v>0</x:v>
      </x:c>
      <x:c r="J10" s="17" t="n">
        <x:f>IF(AND(J$7&gt;=$C10,J$7&lt;=$D10),1,0)</x:f>
        <x:v>0</x:v>
      </x:c>
      <x:c r="K10" s="17" t="n">
        <x:f>IF(AND(K$7&gt;=$C10,K$7&lt;=$D10),1,0)</x:f>
        <x:v>0</x:v>
      </x:c>
      <x:c r="L10" s="17" t="n">
        <x:f>IF(AND(L$7&gt;=$C10,L$7&lt;=$D10),1,0)</x:f>
        <x:v>0</x:v>
      </x:c>
      <x:c r="M10" s="17" t="n">
        <x:f>IF(AND(M$7&gt;=$C10,M$7&lt;=$D10),1,0)</x:f>
        <x:v>0</x:v>
      </x:c>
      <x:c r="N10" s="17" t="n">
        <x:f>IF(AND(N$7&gt;=$C10,N$7&lt;=$D10),1,0)</x:f>
        <x:v>0</x:v>
      </x:c>
      <x:c r="O10" s="17" t="n">
        <x:f>IF(AND(O$7&gt;=$C10,O$7&lt;=$D10),1,0)</x:f>
        <x:v>0</x:v>
      </x:c>
      <x:c r="P10" s="17" t="n">
        <x:f>IF(AND(P$7&gt;=$C10,P$7&lt;=$D10),1,0)</x:f>
        <x:v>0</x:v>
      </x:c>
      <x:c r="Q10" s="17" t="n">
        <x:f>IF(AND(Q$7&gt;=$C10,Q$7&lt;=$D10),1,0)</x:f>
        <x:v>0</x:v>
      </x:c>
      <x:c r="R10" s="36" t="n">
        <x:f>IF(AND(R$7&gt;=$C10,R$7&lt;=$D10),1,0)</x:f>
        <x:v>0</x:v>
      </x:c>
      <x:c r="S10" s="17" t="n">
        <x:f>IF(AND(S$7&gt;=$C10,S$7&lt;=$D10),1,0)</x:f>
        <x:v>0</x:v>
      </x:c>
      <x:c r="T10" s="17" t="n">
        <x:f>IF(AND(T$7&gt;=$C10,T$7&lt;=$D10),1,0)</x:f>
        <x:v>0</x:v>
      </x:c>
      <x:c r="U10" s="17" t="n">
        <x:f>IF(AND(U$7&gt;=$C10,U$7&lt;=$D10),1,0)</x:f>
        <x:v>0</x:v>
      </x:c>
      <x:c r="V10" s="17" t="n">
        <x:f>IF(AND(V$7&gt;=$C10,V$7&lt;=$D10),1,0)</x:f>
        <x:v>0</x:v>
      </x:c>
      <x:c r="W10" s="17" t="n">
        <x:f>IF(AND(W$7&gt;=$C10,W$7&lt;=$D10),1,0)</x:f>
        <x:v>0</x:v>
      </x:c>
      <x:c r="X10" s="17" t="n">
        <x:f>IF(AND(X$7&gt;=$C10,X$7&lt;=$D10),1,0)</x:f>
        <x:v>0</x:v>
      </x:c>
      <x:c r="Y10" s="17" t="n">
        <x:f>IF(AND(Y$7&gt;=$C10,Y$7&lt;=$D10),1,0)</x:f>
        <x:v>0</x:v>
      </x:c>
      <x:c r="Z10" s="17" t="n">
        <x:f>IF(AND(Z$7&gt;=$C10,Z$7&lt;=$D10),1,0)</x:f>
        <x:v>0</x:v>
      </x:c>
      <x:c r="AA10" s="17" t="n">
        <x:f>IF(AND(AA$7&gt;=$C10,AA$7&lt;=$D10),1,0)</x:f>
        <x:v>0</x:v>
      </x:c>
      <x:c r="AB10" s="17" t="n">
        <x:f>IF(AND(AB$7&gt;=$C10,AB$7&lt;=$D10),1,0)</x:f>
        <x:v>0</x:v>
      </x:c>
      <x:c r="AC10" s="17" t="n">
        <x:f>IF(AND(AC$7&gt;=$C10,AC$7&lt;=$D10),1,0)</x:f>
        <x:v>0</x:v>
      </x:c>
    </x:row>
    <x:row r="11" ht="23" customHeight="1">
      <x:c r="A11" s="1" t="str">
        <x:v>03</x:v>
      </x:c>
      <x:c r="B11" s="1" t="str">
        <x:v>Baseline survey and household digitization</x:v>
      </x:c>
      <x:c r="C11" s="13" t="n">
        <x:v>1</x:v>
      </x:c>
      <x:c r="D11" s="13" t="n">
        <x:v>2</x:v>
      </x:c>
      <x:c r="E11" s="14" t="n">
        <x:f>D11-C11+1</x:f>
        <x:v>2</x:v>
      </x:c>
      <x:c r="F11" s="17" t="n">
        <x:f>IF(AND(F$7&gt;=$C11,F$7&lt;=$D11),1,0)</x:f>
        <x:v>1</x:v>
      </x:c>
      <x:c r="G11" s="17" t="n">
        <x:f>IF(AND(G$7&gt;=$C11,G$7&lt;=$D11),1,0)</x:f>
        <x:v>1</x:v>
      </x:c>
      <x:c r="H11" s="17" t="n">
        <x:f>IF(AND(H$7&gt;=$C11,H$7&lt;=$D11),1,0)</x:f>
        <x:v>0</x:v>
      </x:c>
      <x:c r="I11" s="17" t="n">
        <x:f>IF(AND(I$7&gt;=$C11,I$7&lt;=$D11),1,0)</x:f>
        <x:v>0</x:v>
      </x:c>
      <x:c r="J11" s="17" t="n">
        <x:f>IF(AND(J$7&gt;=$C11,J$7&lt;=$D11),1,0)</x:f>
        <x:v>0</x:v>
      </x:c>
      <x:c r="K11" s="17" t="n">
        <x:f>IF(AND(K$7&gt;=$C11,K$7&lt;=$D11),1,0)</x:f>
        <x:v>0</x:v>
      </x:c>
      <x:c r="L11" s="17" t="n">
        <x:f>IF(AND(L$7&gt;=$C11,L$7&lt;=$D11),1,0)</x:f>
        <x:v>0</x:v>
      </x:c>
      <x:c r="M11" s="17" t="n">
        <x:f>IF(AND(M$7&gt;=$C11,M$7&lt;=$D11),1,0)</x:f>
        <x:v>0</x:v>
      </x:c>
      <x:c r="N11" s="17" t="n">
        <x:f>IF(AND(N$7&gt;=$C11,N$7&lt;=$D11),1,0)</x:f>
        <x:v>0</x:v>
      </x:c>
      <x:c r="O11" s="17" t="n">
        <x:f>IF(AND(O$7&gt;=$C11,O$7&lt;=$D11),1,0)</x:f>
        <x:v>0</x:v>
      </x:c>
      <x:c r="P11" s="17" t="n">
        <x:f>IF(AND(P$7&gt;=$C11,P$7&lt;=$D11),1,0)</x:f>
        <x:v>0</x:v>
      </x:c>
      <x:c r="Q11" s="17" t="n">
        <x:f>IF(AND(Q$7&gt;=$C11,Q$7&lt;=$D11),1,0)</x:f>
        <x:v>0</x:v>
      </x:c>
      <x:c r="R11" s="36" t="n">
        <x:f>IF(AND(R$7&gt;=$C11,R$7&lt;=$D11),1,0)</x:f>
        <x:v>0</x:v>
      </x:c>
      <x:c r="S11" s="17" t="n">
        <x:f>IF(AND(S$7&gt;=$C11,S$7&lt;=$D11),1,0)</x:f>
        <x:v>0</x:v>
      </x:c>
      <x:c r="T11" s="17" t="n">
        <x:f>IF(AND(T$7&gt;=$C11,T$7&lt;=$D11),1,0)</x:f>
        <x:v>0</x:v>
      </x:c>
      <x:c r="U11" s="17" t="n">
        <x:f>IF(AND(U$7&gt;=$C11,U$7&lt;=$D11),1,0)</x:f>
        <x:v>0</x:v>
      </x:c>
      <x:c r="V11" s="17" t="n">
        <x:f>IF(AND(V$7&gt;=$C11,V$7&lt;=$D11),1,0)</x:f>
        <x:v>0</x:v>
      </x:c>
      <x:c r="W11" s="17" t="n">
        <x:f>IF(AND(W$7&gt;=$C11,W$7&lt;=$D11),1,0)</x:f>
        <x:v>0</x:v>
      </x:c>
      <x:c r="X11" s="17" t="n">
        <x:f>IF(AND(X$7&gt;=$C11,X$7&lt;=$D11),1,0)</x:f>
        <x:v>0</x:v>
      </x:c>
      <x:c r="Y11" s="17" t="n">
        <x:f>IF(AND(Y$7&gt;=$C11,Y$7&lt;=$D11),1,0)</x:f>
        <x:v>0</x:v>
      </x:c>
      <x:c r="Z11" s="17" t="n">
        <x:f>IF(AND(Z$7&gt;=$C11,Z$7&lt;=$D11),1,0)</x:f>
        <x:v>0</x:v>
      </x:c>
      <x:c r="AA11" s="17" t="n">
        <x:f>IF(AND(AA$7&gt;=$C11,AA$7&lt;=$D11),1,0)</x:f>
        <x:v>0</x:v>
      </x:c>
      <x:c r="AB11" s="17" t="n">
        <x:f>IF(AND(AB$7&gt;=$C11,AB$7&lt;=$D11),1,0)</x:f>
        <x:v>0</x:v>
      </x:c>
      <x:c r="AC11" s="17" t="n">
        <x:f>IF(AND(AC$7&gt;=$C11,AC$7&lt;=$D11),1,0)</x:f>
        <x:v>0</x:v>
      </x:c>
    </x:row>
    <x:row r="12" ht="23" customHeight="1">
      <x:c r="A12" s="1" t="str">
        <x:v>04</x:v>
      </x:c>
      <x:c r="B12" s="1" t="str">
        <x:v>Privacy, clinical protocols and referral partners</x:v>
      </x:c>
      <x:c r="C12" s="13" t="n">
        <x:v>1</x:v>
      </x:c>
      <x:c r="D12" s="13" t="n">
        <x:v>2</x:v>
      </x:c>
      <x:c r="E12" s="14" t="n">
        <x:f>D12-C12+1</x:f>
        <x:v>2</x:v>
      </x:c>
      <x:c r="F12" s="17" t="n">
        <x:f>IF(AND(F$7&gt;=$C12,F$7&lt;=$D12),1,0)</x:f>
        <x:v>1</x:v>
      </x:c>
      <x:c r="G12" s="17" t="n">
        <x:f>IF(AND(G$7&gt;=$C12,G$7&lt;=$D12),1,0)</x:f>
        <x:v>1</x:v>
      </x:c>
      <x:c r="H12" s="17" t="n">
        <x:f>IF(AND(H$7&gt;=$C12,H$7&lt;=$D12),1,0)</x:f>
        <x:v>0</x:v>
      </x:c>
      <x:c r="I12" s="17" t="n">
        <x:f>IF(AND(I$7&gt;=$C12,I$7&lt;=$D12),1,0)</x:f>
        <x:v>0</x:v>
      </x:c>
      <x:c r="J12" s="17" t="n">
        <x:f>IF(AND(J$7&gt;=$C12,J$7&lt;=$D12),1,0)</x:f>
        <x:v>0</x:v>
      </x:c>
      <x:c r="K12" s="17" t="n">
        <x:f>IF(AND(K$7&gt;=$C12,K$7&lt;=$D12),1,0)</x:f>
        <x:v>0</x:v>
      </x:c>
      <x:c r="L12" s="17" t="n">
        <x:f>IF(AND(L$7&gt;=$C12,L$7&lt;=$D12),1,0)</x:f>
        <x:v>0</x:v>
      </x:c>
      <x:c r="M12" s="17" t="n">
        <x:f>IF(AND(M$7&gt;=$C12,M$7&lt;=$D12),1,0)</x:f>
        <x:v>0</x:v>
      </x:c>
      <x:c r="N12" s="17" t="n">
        <x:f>IF(AND(N$7&gt;=$C12,N$7&lt;=$D12),1,0)</x:f>
        <x:v>0</x:v>
      </x:c>
      <x:c r="O12" s="17" t="n">
        <x:f>IF(AND(O$7&gt;=$C12,O$7&lt;=$D12),1,0)</x:f>
        <x:v>0</x:v>
      </x:c>
      <x:c r="P12" s="17" t="n">
        <x:f>IF(AND(P$7&gt;=$C12,P$7&lt;=$D12),1,0)</x:f>
        <x:v>0</x:v>
      </x:c>
      <x:c r="Q12" s="17" t="n">
        <x:f>IF(AND(Q$7&gt;=$C12,Q$7&lt;=$D12),1,0)</x:f>
        <x:v>0</x:v>
      </x:c>
      <x:c r="R12" s="36" t="n">
        <x:f>IF(AND(R$7&gt;=$C12,R$7&lt;=$D12),1,0)</x:f>
        <x:v>0</x:v>
      </x:c>
      <x:c r="S12" s="17" t="n">
        <x:f>IF(AND(S$7&gt;=$C12,S$7&lt;=$D12),1,0)</x:f>
        <x:v>0</x:v>
      </x:c>
      <x:c r="T12" s="17" t="n">
        <x:f>IF(AND(T$7&gt;=$C12,T$7&lt;=$D12),1,0)</x:f>
        <x:v>0</x:v>
      </x:c>
      <x:c r="U12" s="17" t="n">
        <x:f>IF(AND(U$7&gt;=$C12,U$7&lt;=$D12),1,0)</x:f>
        <x:v>0</x:v>
      </x:c>
      <x:c r="V12" s="17" t="n">
        <x:f>IF(AND(V$7&gt;=$C12,V$7&lt;=$D12),1,0)</x:f>
        <x:v>0</x:v>
      </x:c>
      <x:c r="W12" s="17" t="n">
        <x:f>IF(AND(W$7&gt;=$C12,W$7&lt;=$D12),1,0)</x:f>
        <x:v>0</x:v>
      </x:c>
      <x:c r="X12" s="17" t="n">
        <x:f>IF(AND(X$7&gt;=$C12,X$7&lt;=$D12),1,0)</x:f>
        <x:v>0</x:v>
      </x:c>
      <x:c r="Y12" s="17" t="n">
        <x:f>IF(AND(Y$7&gt;=$C12,Y$7&lt;=$D12),1,0)</x:f>
        <x:v>0</x:v>
      </x:c>
      <x:c r="Z12" s="17" t="n">
        <x:f>IF(AND(Z$7&gt;=$C12,Z$7&lt;=$D12),1,0)</x:f>
        <x:v>0</x:v>
      </x:c>
      <x:c r="AA12" s="17" t="n">
        <x:f>IF(AND(AA$7&gt;=$C12,AA$7&lt;=$D12),1,0)</x:f>
        <x:v>0</x:v>
      </x:c>
      <x:c r="AB12" s="17" t="n">
        <x:f>IF(AND(AB$7&gt;=$C12,AB$7&lt;=$D12),1,0)</x:f>
        <x:v>0</x:v>
      </x:c>
      <x:c r="AC12" s="17" t="n">
        <x:f>IF(AND(AC$7&gt;=$C12,AC$7&lt;=$D12),1,0)</x:f>
        <x:v>0</x:v>
      </x:c>
    </x:row>
    <x:row r="13" ht="23" customHeight="1">
      <x:c r="A13" s="1" t="str">
        <x:v>05</x:v>
      </x:c>
      <x:c r="B13" s="1" t="str">
        <x:v>Procure equipment and connectivity</x:v>
      </x:c>
      <x:c r="C13" s="13" t="n">
        <x:v>1</x:v>
      </x:c>
      <x:c r="D13" s="13" t="n">
        <x:v>3</x:v>
      </x:c>
      <x:c r="E13" s="14" t="n">
        <x:f>D13-C13+1</x:f>
        <x:v>3</x:v>
      </x:c>
      <x:c r="F13" s="17" t="n">
        <x:f>IF(AND(F$7&gt;=$C13,F$7&lt;=$D13),1,0)</x:f>
        <x:v>1</x:v>
      </x:c>
      <x:c r="G13" s="17" t="n">
        <x:f>IF(AND(G$7&gt;=$C13,G$7&lt;=$D13),1,0)</x:f>
        <x:v>1</x:v>
      </x:c>
      <x:c r="H13" s="17" t="n">
        <x:f>IF(AND(H$7&gt;=$C13,H$7&lt;=$D13),1,0)</x:f>
        <x:v>1</x:v>
      </x:c>
      <x:c r="I13" s="17" t="n">
        <x:f>IF(AND(I$7&gt;=$C13,I$7&lt;=$D13),1,0)</x:f>
        <x:v>0</x:v>
      </x:c>
      <x:c r="J13" s="17" t="n">
        <x:f>IF(AND(J$7&gt;=$C13,J$7&lt;=$D13),1,0)</x:f>
        <x:v>0</x:v>
      </x:c>
      <x:c r="K13" s="17" t="n">
        <x:f>IF(AND(K$7&gt;=$C13,K$7&lt;=$D13),1,0)</x:f>
        <x:v>0</x:v>
      </x:c>
      <x:c r="L13" s="17" t="n">
        <x:f>IF(AND(L$7&gt;=$C13,L$7&lt;=$D13),1,0)</x:f>
        <x:v>0</x:v>
      </x:c>
      <x:c r="M13" s="17" t="n">
        <x:f>IF(AND(M$7&gt;=$C13,M$7&lt;=$D13),1,0)</x:f>
        <x:v>0</x:v>
      </x:c>
      <x:c r="N13" s="17" t="n">
        <x:f>IF(AND(N$7&gt;=$C13,N$7&lt;=$D13),1,0)</x:f>
        <x:v>0</x:v>
      </x:c>
      <x:c r="O13" s="17" t="n">
        <x:f>IF(AND(O$7&gt;=$C13,O$7&lt;=$D13),1,0)</x:f>
        <x:v>0</x:v>
      </x:c>
      <x:c r="P13" s="17" t="n">
        <x:f>IF(AND(P$7&gt;=$C13,P$7&lt;=$D13),1,0)</x:f>
        <x:v>0</x:v>
      </x:c>
      <x:c r="Q13" s="17" t="n">
        <x:f>IF(AND(Q$7&gt;=$C13,Q$7&lt;=$D13),1,0)</x:f>
        <x:v>0</x:v>
      </x:c>
      <x:c r="R13" s="36" t="n">
        <x:f>IF(AND(R$7&gt;=$C13,R$7&lt;=$D13),1,0)</x:f>
        <x:v>0</x:v>
      </x:c>
      <x:c r="S13" s="17" t="n">
        <x:f>IF(AND(S$7&gt;=$C13,S$7&lt;=$D13),1,0)</x:f>
        <x:v>0</x:v>
      </x:c>
      <x:c r="T13" s="17" t="n">
        <x:f>IF(AND(T$7&gt;=$C13,T$7&lt;=$D13),1,0)</x:f>
        <x:v>0</x:v>
      </x:c>
      <x:c r="U13" s="17" t="n">
        <x:f>IF(AND(U$7&gt;=$C13,U$7&lt;=$D13),1,0)</x:f>
        <x:v>0</x:v>
      </x:c>
      <x:c r="V13" s="17" t="n">
        <x:f>IF(AND(V$7&gt;=$C13,V$7&lt;=$D13),1,0)</x:f>
        <x:v>0</x:v>
      </x:c>
      <x:c r="W13" s="17" t="n">
        <x:f>IF(AND(W$7&gt;=$C13,W$7&lt;=$D13),1,0)</x:f>
        <x:v>0</x:v>
      </x:c>
      <x:c r="X13" s="17" t="n">
        <x:f>IF(AND(X$7&gt;=$C13,X$7&lt;=$D13),1,0)</x:f>
        <x:v>0</x:v>
      </x:c>
      <x:c r="Y13" s="17" t="n">
        <x:f>IF(AND(Y$7&gt;=$C13,Y$7&lt;=$D13),1,0)</x:f>
        <x:v>0</x:v>
      </x:c>
      <x:c r="Z13" s="17" t="n">
        <x:f>IF(AND(Z$7&gt;=$C13,Z$7&lt;=$D13),1,0)</x:f>
        <x:v>0</x:v>
      </x:c>
      <x:c r="AA13" s="17" t="n">
        <x:f>IF(AND(AA$7&gt;=$C13,AA$7&lt;=$D13),1,0)</x:f>
        <x:v>0</x:v>
      </x:c>
      <x:c r="AB13" s="17" t="n">
        <x:f>IF(AND(AB$7&gt;=$C13,AB$7&lt;=$D13),1,0)</x:f>
        <x:v>0</x:v>
      </x:c>
      <x:c r="AC13" s="17" t="n">
        <x:f>IF(AND(AC$7&gt;=$C13,AC$7&lt;=$D13),1,0)</x:f>
        <x:v>0</x:v>
      </x:c>
    </x:row>
    <x:row r="14" ht="23" customHeight="1">
      <x:c r="A14" s="1" t="str">
        <x:v>06</x:v>
      </x:c>
      <x:c r="B14" s="1" t="str">
        <x:v>Complete pilot platform and verify real-use readiness</x:v>
      </x:c>
      <x:c r="C14" s="13" t="n">
        <x:v>1</x:v>
      </x:c>
      <x:c r="D14" s="13" t="n">
        <x:v>2</x:v>
      </x:c>
      <x:c r="E14" s="14" t="n">
        <x:f>D14-C14+1</x:f>
        <x:v>2</x:v>
      </x:c>
      <x:c r="F14" s="17" t="n">
        <x:f>IF(AND(F$7&gt;=$C14,F$7&lt;=$D14),1,0)</x:f>
        <x:v>1</x:v>
      </x:c>
      <x:c r="G14" s="17" t="n">
        <x:f>IF(AND(G$7&gt;=$C14,G$7&lt;=$D14),1,0)</x:f>
        <x:v>1</x:v>
      </x:c>
      <x:c r="H14" s="17" t="n">
        <x:f>IF(AND(H$7&gt;=$C14,H$7&lt;=$D14),1,0)</x:f>
        <x:v>0</x:v>
      </x:c>
      <x:c r="I14" s="17" t="n">
        <x:f>IF(AND(I$7&gt;=$C14,I$7&lt;=$D14),1,0)</x:f>
        <x:v>0</x:v>
      </x:c>
      <x:c r="J14" s="17" t="n">
        <x:f>IF(AND(J$7&gt;=$C14,J$7&lt;=$D14),1,0)</x:f>
        <x:v>0</x:v>
      </x:c>
      <x:c r="K14" s="17" t="n">
        <x:f>IF(AND(K$7&gt;=$C14,K$7&lt;=$D14),1,0)</x:f>
        <x:v>0</x:v>
      </x:c>
      <x:c r="L14" s="17" t="n">
        <x:f>IF(AND(L$7&gt;=$C14,L$7&lt;=$D14),1,0)</x:f>
        <x:v>0</x:v>
      </x:c>
      <x:c r="M14" s="17" t="n">
        <x:f>IF(AND(M$7&gt;=$C14,M$7&lt;=$D14),1,0)</x:f>
        <x:v>0</x:v>
      </x:c>
      <x:c r="N14" s="17" t="n">
        <x:f>IF(AND(N$7&gt;=$C14,N$7&lt;=$D14),1,0)</x:f>
        <x:v>0</x:v>
      </x:c>
      <x:c r="O14" s="17" t="n">
        <x:f>IF(AND(O$7&gt;=$C14,O$7&lt;=$D14),1,0)</x:f>
        <x:v>0</x:v>
      </x:c>
      <x:c r="P14" s="17" t="n">
        <x:f>IF(AND(P$7&gt;=$C14,P$7&lt;=$D14),1,0)</x:f>
        <x:v>0</x:v>
      </x:c>
      <x:c r="Q14" s="17" t="n">
        <x:f>IF(AND(Q$7&gt;=$C14,Q$7&lt;=$D14),1,0)</x:f>
        <x:v>0</x:v>
      </x:c>
      <x:c r="R14" s="36" t="n">
        <x:f>IF(AND(R$7&gt;=$C14,R$7&lt;=$D14),1,0)</x:f>
        <x:v>0</x:v>
      </x:c>
      <x:c r="S14" s="17" t="n">
        <x:f>IF(AND(S$7&gt;=$C14,S$7&lt;=$D14),1,0)</x:f>
        <x:v>0</x:v>
      </x:c>
      <x:c r="T14" s="17" t="n">
        <x:f>IF(AND(T$7&gt;=$C14,T$7&lt;=$D14),1,0)</x:f>
        <x:v>0</x:v>
      </x:c>
      <x:c r="U14" s="17" t="n">
        <x:f>IF(AND(U$7&gt;=$C14,U$7&lt;=$D14),1,0)</x:f>
        <x:v>0</x:v>
      </x:c>
      <x:c r="V14" s="17" t="n">
        <x:f>IF(AND(V$7&gt;=$C14,V$7&lt;=$D14),1,0)</x:f>
        <x:v>0</x:v>
      </x:c>
      <x:c r="W14" s="17" t="n">
        <x:f>IF(AND(W$7&gt;=$C14,W$7&lt;=$D14),1,0)</x:f>
        <x:v>0</x:v>
      </x:c>
      <x:c r="X14" s="17" t="n">
        <x:f>IF(AND(X$7&gt;=$C14,X$7&lt;=$D14),1,0)</x:f>
        <x:v>0</x:v>
      </x:c>
      <x:c r="Y14" s="17" t="n">
        <x:f>IF(AND(Y$7&gt;=$C14,Y$7&lt;=$D14),1,0)</x:f>
        <x:v>0</x:v>
      </x:c>
      <x:c r="Z14" s="17" t="n">
        <x:f>IF(AND(Z$7&gt;=$C14,Z$7&lt;=$D14),1,0)</x:f>
        <x:v>0</x:v>
      </x:c>
      <x:c r="AA14" s="17" t="n">
        <x:f>IF(AND(AA$7&gt;=$C14,AA$7&lt;=$D14),1,0)</x:f>
        <x:v>0</x:v>
      </x:c>
      <x:c r="AB14" s="17" t="n">
        <x:f>IF(AND(AB$7&gt;=$C14,AB$7&lt;=$D14),1,0)</x:f>
        <x:v>0</x:v>
      </x:c>
      <x:c r="AC14" s="17" t="n">
        <x:f>IF(AND(AC$7&gt;=$C14,AC$7&lt;=$D14),1,0)</x:f>
        <x:v>0</x:v>
      </x:c>
    </x:row>
    <x:row r="15" ht="23" customHeight="1">
      <x:c r="A15" s="1" t="str">
        <x:v>07</x:v>
      </x:c>
      <x:c r="B15" s="1" t="str">
        <x:v>Recruit, screen and train first caregiver cohort</x:v>
      </x:c>
      <x:c r="C15" s="13" t="n">
        <x:v>1</x:v>
      </x:c>
      <x:c r="D15" s="13" t="n">
        <x:v>2</x:v>
      </x:c>
      <x:c r="E15" s="14" t="n">
        <x:f>D15-C15+1</x:f>
        <x:v>2</x:v>
      </x:c>
      <x:c r="F15" s="17" t="n">
        <x:f>IF(AND(F$7&gt;=$C15,F$7&lt;=$D15),1,0)</x:f>
        <x:v>1</x:v>
      </x:c>
      <x:c r="G15" s="17" t="n">
        <x:f>IF(AND(G$7&gt;=$C15,G$7&lt;=$D15),1,0)</x:f>
        <x:v>1</x:v>
      </x:c>
      <x:c r="H15" s="17" t="n">
        <x:f>IF(AND(H$7&gt;=$C15,H$7&lt;=$D15),1,0)</x:f>
        <x:v>0</x:v>
      </x:c>
      <x:c r="I15" s="17" t="n">
        <x:f>IF(AND(I$7&gt;=$C15,I$7&lt;=$D15),1,0)</x:f>
        <x:v>0</x:v>
      </x:c>
      <x:c r="J15" s="17" t="n">
        <x:f>IF(AND(J$7&gt;=$C15,J$7&lt;=$D15),1,0)</x:f>
        <x:v>0</x:v>
      </x:c>
      <x:c r="K15" s="17" t="n">
        <x:f>IF(AND(K$7&gt;=$C15,K$7&lt;=$D15),1,0)</x:f>
        <x:v>0</x:v>
      </x:c>
      <x:c r="L15" s="17" t="n">
        <x:f>IF(AND(L$7&gt;=$C15,L$7&lt;=$D15),1,0)</x:f>
        <x:v>0</x:v>
      </x:c>
      <x:c r="M15" s="17" t="n">
        <x:f>IF(AND(M$7&gt;=$C15,M$7&lt;=$D15),1,0)</x:f>
        <x:v>0</x:v>
      </x:c>
      <x:c r="N15" s="17" t="n">
        <x:f>IF(AND(N$7&gt;=$C15,N$7&lt;=$D15),1,0)</x:f>
        <x:v>0</x:v>
      </x:c>
      <x:c r="O15" s="17" t="n">
        <x:f>IF(AND(O$7&gt;=$C15,O$7&lt;=$D15),1,0)</x:f>
        <x:v>0</x:v>
      </x:c>
      <x:c r="P15" s="17" t="n">
        <x:f>IF(AND(P$7&gt;=$C15,P$7&lt;=$D15),1,0)</x:f>
        <x:v>0</x:v>
      </x:c>
      <x:c r="Q15" s="17" t="n">
        <x:f>IF(AND(Q$7&gt;=$C15,Q$7&lt;=$D15),1,0)</x:f>
        <x:v>0</x:v>
      </x:c>
      <x:c r="R15" s="36" t="n">
        <x:f>IF(AND(R$7&gt;=$C15,R$7&lt;=$D15),1,0)</x:f>
        <x:v>0</x:v>
      </x:c>
      <x:c r="S15" s="17" t="n">
        <x:f>IF(AND(S$7&gt;=$C15,S$7&lt;=$D15),1,0)</x:f>
        <x:v>0</x:v>
      </x:c>
      <x:c r="T15" s="17" t="n">
        <x:f>IF(AND(T$7&gt;=$C15,T$7&lt;=$D15),1,0)</x:f>
        <x:v>0</x:v>
      </x:c>
      <x:c r="U15" s="17" t="n">
        <x:f>IF(AND(U$7&gt;=$C15,U$7&lt;=$D15),1,0)</x:f>
        <x:v>0</x:v>
      </x:c>
      <x:c r="V15" s="17" t="n">
        <x:f>IF(AND(V$7&gt;=$C15,V$7&lt;=$D15),1,0)</x:f>
        <x:v>0</x:v>
      </x:c>
      <x:c r="W15" s="17" t="n">
        <x:f>IF(AND(W$7&gt;=$C15,W$7&lt;=$D15),1,0)</x:f>
        <x:v>0</x:v>
      </x:c>
      <x:c r="X15" s="17" t="n">
        <x:f>IF(AND(X$7&gt;=$C15,X$7&lt;=$D15),1,0)</x:f>
        <x:v>0</x:v>
      </x:c>
      <x:c r="Y15" s="17" t="n">
        <x:f>IF(AND(Y$7&gt;=$C15,Y$7&lt;=$D15),1,0)</x:f>
        <x:v>0</x:v>
      </x:c>
      <x:c r="Z15" s="17" t="n">
        <x:f>IF(AND(Z$7&gt;=$C15,Z$7&lt;=$D15),1,0)</x:f>
        <x:v>0</x:v>
      </x:c>
      <x:c r="AA15" s="17" t="n">
        <x:f>IF(AND(AA$7&gt;=$C15,AA$7&lt;=$D15),1,0)</x:f>
        <x:v>0</x:v>
      </x:c>
      <x:c r="AB15" s="17" t="n">
        <x:f>IF(AND(AB$7&gt;=$C15,AB$7&lt;=$D15),1,0)</x:f>
        <x:v>0</x:v>
      </x:c>
      <x:c r="AC15" s="17" t="n">
        <x:f>IF(AND(AC$7&gt;=$C15,AC$7&lt;=$D15),1,0)</x:f>
        <x:v>0</x:v>
      </x:c>
    </x:row>
    <x:row r="16" ht="23" customHeight="1">
      <x:c r="A16" s="19" t="str">
        <x:v>08</x:v>
      </x:c>
      <x:c r="B16" s="19" t="str">
        <x:v>GATE: pilot readiness</x:v>
      </x:c>
      <x:c r="C16" s="20" t="n">
        <x:v>2</x:v>
      </x:c>
      <x:c r="D16" s="20" t="n">
        <x:v>2</x:v>
      </x:c>
      <x:c r="E16" s="21" t="n">
        <x:f>D16-C16+1</x:f>
        <x:v>1</x:v>
      </x:c>
      <x:c r="F16" s="22" t="str">
        <x:f>IF(F$7=$C16,"◆","")</x:f>
      </x:c>
      <x:c r="G16" s="22" t="str">
        <x:f>IF(G$7=$C16,"◆","")</x:f>
        <x:v>◆</x:v>
      </x:c>
      <x:c r="H16" s="22" t="str">
        <x:f>IF(H$7=$C16,"◆","")</x:f>
      </x:c>
      <x:c r="I16" s="22" t="str">
        <x:f>IF(I$7=$C16,"◆","")</x:f>
      </x:c>
      <x:c r="J16" s="22" t="str">
        <x:f>IF(J$7=$C16,"◆","")</x:f>
      </x:c>
      <x:c r="K16" s="22" t="str">
        <x:f>IF(K$7=$C16,"◆","")</x:f>
      </x:c>
      <x:c r="L16" s="22" t="str">
        <x:f>IF(L$7=$C16,"◆","")</x:f>
      </x:c>
      <x:c r="M16" s="22" t="str">
        <x:f>IF(M$7=$C16,"◆","")</x:f>
      </x:c>
      <x:c r="N16" s="22" t="str">
        <x:f>IF(N$7=$C16,"◆","")</x:f>
      </x:c>
      <x:c r="O16" s="22" t="str">
        <x:f>IF(O$7=$C16,"◆","")</x:f>
      </x:c>
      <x:c r="P16" s="22" t="str">
        <x:f>IF(P$7=$C16,"◆","")</x:f>
      </x:c>
      <x:c r="Q16" s="22" t="str">
        <x:f>IF(Q$7=$C16,"◆","")</x:f>
      </x:c>
      <x:c r="R16" s="37" t="str">
        <x:f>IF(R$7=$C16,"◆","")</x:f>
      </x:c>
      <x:c r="S16" s="22" t="str">
        <x:f>IF(S$7=$C16,"◆","")</x:f>
      </x:c>
      <x:c r="T16" s="22" t="str">
        <x:f>IF(T$7=$C16,"◆","")</x:f>
      </x:c>
      <x:c r="U16" s="22" t="str">
        <x:f>IF(U$7=$C16,"◆","")</x:f>
      </x:c>
      <x:c r="V16" s="22" t="str">
        <x:f>IF(V$7=$C16,"◆","")</x:f>
      </x:c>
      <x:c r="W16" s="22" t="str">
        <x:f>IF(W$7=$C16,"◆","")</x:f>
      </x:c>
      <x:c r="X16" s="22" t="str">
        <x:f>IF(X$7=$C16,"◆","")</x:f>
      </x:c>
      <x:c r="Y16" s="22" t="str">
        <x:f>IF(Y$7=$C16,"◆","")</x:f>
      </x:c>
      <x:c r="Z16" s="22" t="str">
        <x:f>IF(Z$7=$C16,"◆","")</x:f>
      </x:c>
      <x:c r="AA16" s="22" t="str">
        <x:f>IF(AA$7=$C16,"◆","")</x:f>
      </x:c>
      <x:c r="AB16" s="22" t="str">
        <x:f>IF(AB$7=$C16,"◆","")</x:f>
      </x:c>
      <x:c r="AC16" s="22" t="str">
        <x:f>IF(AC$7=$C16,"◆","")</x:f>
      </x:c>
    </x:row>
    <x:row r="17" ht="23" customHeight="1">
      <x:c r="A17" s="24"/>
      <x:c r="B17" s="24" t="str">
        <x:v>CORE CARE PILOT</x:v>
      </x:c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38"/>
      <x:c r="S17" s="24"/>
      <x:c r="T17" s="24"/>
      <x:c r="U17" s="24"/>
      <x:c r="V17" s="24"/>
      <x:c r="W17" s="24"/>
      <x:c r="X17" s="24"/>
      <x:c r="Y17" s="24"/>
      <x:c r="Z17" s="24"/>
      <x:c r="AA17" s="24"/>
      <x:c r="AB17" s="24"/>
      <x:c r="AC17" s="24"/>
    </x:row>
    <x:row r="18" ht="23" customHeight="1">
      <x:c r="A18" s="1" t="str">
        <x:v>09</x:v>
      </x:c>
      <x:c r="B18" s="1" t="str">
        <x:v>Enroll households and assist first bookings</x:v>
      </x:c>
      <x:c r="C18" s="13" t="n">
        <x:v>2</x:v>
      </x:c>
      <x:c r="D18" s="13" t="n">
        <x:v>4</x:v>
      </x:c>
      <x:c r="E18" s="14" t="n">
        <x:f>D18-C18+1</x:f>
        <x:v>3</x:v>
      </x:c>
      <x:c r="F18" s="17" t="n">
        <x:f>IF(AND(F$7&gt;=$C18,F$7&lt;=$D18),1,0)</x:f>
        <x:v>0</x:v>
      </x:c>
      <x:c r="G18" s="17" t="n">
        <x:f>IF(AND(G$7&gt;=$C18,G$7&lt;=$D18),1,0)</x:f>
        <x:v>1</x:v>
      </x:c>
      <x:c r="H18" s="17" t="n">
        <x:f>IF(AND(H$7&gt;=$C18,H$7&lt;=$D18),1,0)</x:f>
        <x:v>1</x:v>
      </x:c>
      <x:c r="I18" s="17" t="n">
        <x:f>IF(AND(I$7&gt;=$C18,I$7&lt;=$D18),1,0)</x:f>
        <x:v>1</x:v>
      </x:c>
      <x:c r="J18" s="17" t="n">
        <x:f>IF(AND(J$7&gt;=$C18,J$7&lt;=$D18),1,0)</x:f>
        <x:v>0</x:v>
      </x:c>
      <x:c r="K18" s="17" t="n">
        <x:f>IF(AND(K$7&gt;=$C18,K$7&lt;=$D18),1,0)</x:f>
        <x:v>0</x:v>
      </x:c>
      <x:c r="L18" s="17" t="n">
        <x:f>IF(AND(L$7&gt;=$C18,L$7&lt;=$D18),1,0)</x:f>
        <x:v>0</x:v>
      </x:c>
      <x:c r="M18" s="17" t="n">
        <x:f>IF(AND(M$7&gt;=$C18,M$7&lt;=$D18),1,0)</x:f>
        <x:v>0</x:v>
      </x:c>
      <x:c r="N18" s="17" t="n">
        <x:f>IF(AND(N$7&gt;=$C18,N$7&lt;=$D18),1,0)</x:f>
        <x:v>0</x:v>
      </x:c>
      <x:c r="O18" s="17" t="n">
        <x:f>IF(AND(O$7&gt;=$C18,O$7&lt;=$D18),1,0)</x:f>
        <x:v>0</x:v>
      </x:c>
      <x:c r="P18" s="17" t="n">
        <x:f>IF(AND(P$7&gt;=$C18,P$7&lt;=$D18),1,0)</x:f>
        <x:v>0</x:v>
      </x:c>
      <x:c r="Q18" s="17" t="n">
        <x:f>IF(AND(Q$7&gt;=$C18,Q$7&lt;=$D18),1,0)</x:f>
        <x:v>0</x:v>
      </x:c>
      <x:c r="R18" s="36" t="n">
        <x:f>IF(AND(R$7&gt;=$C18,R$7&lt;=$D18),1,0)</x:f>
        <x:v>0</x:v>
      </x:c>
      <x:c r="S18" s="17" t="n">
        <x:f>IF(AND(S$7&gt;=$C18,S$7&lt;=$D18),1,0)</x:f>
        <x:v>0</x:v>
      </x:c>
      <x:c r="T18" s="17" t="n">
        <x:f>IF(AND(T$7&gt;=$C18,T$7&lt;=$D18),1,0)</x:f>
        <x:v>0</x:v>
      </x:c>
      <x:c r="U18" s="17" t="n">
        <x:f>IF(AND(U$7&gt;=$C18,U$7&lt;=$D18),1,0)</x:f>
        <x:v>0</x:v>
      </x:c>
      <x:c r="V18" s="17" t="n">
        <x:f>IF(AND(V$7&gt;=$C18,V$7&lt;=$D18),1,0)</x:f>
        <x:v>0</x:v>
      </x:c>
      <x:c r="W18" s="17" t="n">
        <x:f>IF(AND(W$7&gt;=$C18,W$7&lt;=$D18),1,0)</x:f>
        <x:v>0</x:v>
      </x:c>
      <x:c r="X18" s="17" t="n">
        <x:f>IF(AND(X$7&gt;=$C18,X$7&lt;=$D18),1,0)</x:f>
        <x:v>0</x:v>
      </x:c>
      <x:c r="Y18" s="17" t="n">
        <x:f>IF(AND(Y$7&gt;=$C18,Y$7&lt;=$D18),1,0)</x:f>
        <x:v>0</x:v>
      </x:c>
      <x:c r="Z18" s="17" t="n">
        <x:f>IF(AND(Z$7&gt;=$C18,Z$7&lt;=$D18),1,0)</x:f>
        <x:v>0</x:v>
      </x:c>
      <x:c r="AA18" s="17" t="n">
        <x:f>IF(AND(AA$7&gt;=$C18,AA$7&lt;=$D18),1,0)</x:f>
        <x:v>0</x:v>
      </x:c>
      <x:c r="AB18" s="17" t="n">
        <x:f>IF(AND(AB$7&gt;=$C18,AB$7&lt;=$D18),1,0)</x:f>
        <x:v>0</x:v>
      </x:c>
      <x:c r="AC18" s="17" t="n">
        <x:f>IF(AND(AC$7&gt;=$C18,AC$7&lt;=$D18),1,0)</x:f>
        <x:v>0</x:v>
      </x:c>
    </x:row>
    <x:row r="19" ht="23" customHeight="1">
      <x:c r="A19" s="1" t="str">
        <x:v>10</x:v>
      </x:c>
      <x:c r="B19" s="1" t="str">
        <x:v>Deliver home care and post-discharge follow-up</x:v>
      </x:c>
      <x:c r="C19" s="13" t="n">
        <x:v>2</x:v>
      </x:c>
      <x:c r="D19" s="13" t="n">
        <x:v>4</x:v>
      </x:c>
      <x:c r="E19" s="14" t="n">
        <x:f>D19-C19+1</x:f>
        <x:v>3</x:v>
      </x:c>
      <x:c r="F19" s="17" t="n">
        <x:f>IF(AND(F$7&gt;=$C19,F$7&lt;=$D19),1,0)</x:f>
        <x:v>0</x:v>
      </x:c>
      <x:c r="G19" s="17" t="n">
        <x:f>IF(AND(G$7&gt;=$C19,G$7&lt;=$D19),1,0)</x:f>
        <x:v>1</x:v>
      </x:c>
      <x:c r="H19" s="17" t="n">
        <x:f>IF(AND(H$7&gt;=$C19,H$7&lt;=$D19),1,0)</x:f>
        <x:v>1</x:v>
      </x:c>
      <x:c r="I19" s="17" t="n">
        <x:f>IF(AND(I$7&gt;=$C19,I$7&lt;=$D19),1,0)</x:f>
        <x:v>1</x:v>
      </x:c>
      <x:c r="J19" s="17" t="n">
        <x:f>IF(AND(J$7&gt;=$C19,J$7&lt;=$D19),1,0)</x:f>
        <x:v>0</x:v>
      </x:c>
      <x:c r="K19" s="17" t="n">
        <x:f>IF(AND(K$7&gt;=$C19,K$7&lt;=$D19),1,0)</x:f>
        <x:v>0</x:v>
      </x:c>
      <x:c r="L19" s="17" t="n">
        <x:f>IF(AND(L$7&gt;=$C19,L$7&lt;=$D19),1,0)</x:f>
        <x:v>0</x:v>
      </x:c>
      <x:c r="M19" s="17" t="n">
        <x:f>IF(AND(M$7&gt;=$C19,M$7&lt;=$D19),1,0)</x:f>
        <x:v>0</x:v>
      </x:c>
      <x:c r="N19" s="17" t="n">
        <x:f>IF(AND(N$7&gt;=$C19,N$7&lt;=$D19),1,0)</x:f>
        <x:v>0</x:v>
      </x:c>
      <x:c r="O19" s="17" t="n">
        <x:f>IF(AND(O$7&gt;=$C19,O$7&lt;=$D19),1,0)</x:f>
        <x:v>0</x:v>
      </x:c>
      <x:c r="P19" s="17" t="n">
        <x:f>IF(AND(P$7&gt;=$C19,P$7&lt;=$D19),1,0)</x:f>
        <x:v>0</x:v>
      </x:c>
      <x:c r="Q19" s="17" t="n">
        <x:f>IF(AND(Q$7&gt;=$C19,Q$7&lt;=$D19),1,0)</x:f>
        <x:v>0</x:v>
      </x:c>
      <x:c r="R19" s="36" t="n">
        <x:f>IF(AND(R$7&gt;=$C19,R$7&lt;=$D19),1,0)</x:f>
        <x:v>0</x:v>
      </x:c>
      <x:c r="S19" s="17" t="n">
        <x:f>IF(AND(S$7&gt;=$C19,S$7&lt;=$D19),1,0)</x:f>
        <x:v>0</x:v>
      </x:c>
      <x:c r="T19" s="17" t="n">
        <x:f>IF(AND(T$7&gt;=$C19,T$7&lt;=$D19),1,0)</x:f>
        <x:v>0</x:v>
      </x:c>
      <x:c r="U19" s="17" t="n">
        <x:f>IF(AND(U$7&gt;=$C19,U$7&lt;=$D19),1,0)</x:f>
        <x:v>0</x:v>
      </x:c>
      <x:c r="V19" s="17" t="n">
        <x:f>IF(AND(V$7&gt;=$C19,V$7&lt;=$D19),1,0)</x:f>
        <x:v>0</x:v>
      </x:c>
      <x:c r="W19" s="17" t="n">
        <x:f>IF(AND(W$7&gt;=$C19,W$7&lt;=$D19),1,0)</x:f>
        <x:v>0</x:v>
      </x:c>
      <x:c r="X19" s="17" t="n">
        <x:f>IF(AND(X$7&gt;=$C19,X$7&lt;=$D19),1,0)</x:f>
        <x:v>0</x:v>
      </x:c>
      <x:c r="Y19" s="17" t="n">
        <x:f>IF(AND(Y$7&gt;=$C19,Y$7&lt;=$D19),1,0)</x:f>
        <x:v>0</x:v>
      </x:c>
      <x:c r="Z19" s="17" t="n">
        <x:f>IF(AND(Z$7&gt;=$C19,Z$7&lt;=$D19),1,0)</x:f>
        <x:v>0</x:v>
      </x:c>
      <x:c r="AA19" s="17" t="n">
        <x:f>IF(AND(AA$7&gt;=$C19,AA$7&lt;=$D19),1,0)</x:f>
        <x:v>0</x:v>
      </x:c>
      <x:c r="AB19" s="17" t="n">
        <x:f>IF(AND(AB$7&gt;=$C19,AB$7&lt;=$D19),1,0)</x:f>
        <x:v>0</x:v>
      </x:c>
      <x:c r="AC19" s="17" t="n">
        <x:f>IF(AND(AC$7&gt;=$C19,AC$7&lt;=$D19),1,0)</x:f>
        <x:v>0</x:v>
      </x:c>
    </x:row>
    <x:row r="20" ht="23" customHeight="1">
      <x:c r="A20" s="1" t="str">
        <x:v>11</x:v>
      </x:c>
      <x:c r="B20" s="1" t="str">
        <x:v>Activate telehealth equipment in pilot sites</x:v>
      </x:c>
      <x:c r="C20" s="13" t="n">
        <x:v>3</x:v>
      </x:c>
      <x:c r="D20" s="13" t="n">
        <x:v>4</x:v>
      </x:c>
      <x:c r="E20" s="14" t="n">
        <x:f>D20-C20+1</x:f>
        <x:v>2</x:v>
      </x:c>
      <x:c r="F20" s="17" t="n">
        <x:f>IF(AND(F$7&gt;=$C20,F$7&lt;=$D20),1,0)</x:f>
        <x:v>0</x:v>
      </x:c>
      <x:c r="G20" s="17" t="n">
        <x:f>IF(AND(G$7&gt;=$C20,G$7&lt;=$D20),1,0)</x:f>
        <x:v>0</x:v>
      </x:c>
      <x:c r="H20" s="17" t="n">
        <x:f>IF(AND(H$7&gt;=$C20,H$7&lt;=$D20),1,0)</x:f>
        <x:v>1</x:v>
      </x:c>
      <x:c r="I20" s="17" t="n">
        <x:f>IF(AND(I$7&gt;=$C20,I$7&lt;=$D20),1,0)</x:f>
        <x:v>1</x:v>
      </x:c>
      <x:c r="J20" s="17" t="n">
        <x:f>IF(AND(J$7&gt;=$C20,J$7&lt;=$D20),1,0)</x:f>
        <x:v>0</x:v>
      </x:c>
      <x:c r="K20" s="17" t="n">
        <x:f>IF(AND(K$7&gt;=$C20,K$7&lt;=$D20),1,0)</x:f>
        <x:v>0</x:v>
      </x:c>
      <x:c r="L20" s="17" t="n">
        <x:f>IF(AND(L$7&gt;=$C20,L$7&lt;=$D20),1,0)</x:f>
        <x:v>0</x:v>
      </x:c>
      <x:c r="M20" s="17" t="n">
        <x:f>IF(AND(M$7&gt;=$C20,M$7&lt;=$D20),1,0)</x:f>
        <x:v>0</x:v>
      </x:c>
      <x:c r="N20" s="17" t="n">
        <x:f>IF(AND(N$7&gt;=$C20,N$7&lt;=$D20),1,0)</x:f>
        <x:v>0</x:v>
      </x:c>
      <x:c r="O20" s="17" t="n">
        <x:f>IF(AND(O$7&gt;=$C20,O$7&lt;=$D20),1,0)</x:f>
        <x:v>0</x:v>
      </x:c>
      <x:c r="P20" s="17" t="n">
        <x:f>IF(AND(P$7&gt;=$C20,P$7&lt;=$D20),1,0)</x:f>
        <x:v>0</x:v>
      </x:c>
      <x:c r="Q20" s="17" t="n">
        <x:f>IF(AND(Q$7&gt;=$C20,Q$7&lt;=$D20),1,0)</x:f>
        <x:v>0</x:v>
      </x:c>
      <x:c r="R20" s="36" t="n">
        <x:f>IF(AND(R$7&gt;=$C20,R$7&lt;=$D20),1,0)</x:f>
        <x:v>0</x:v>
      </x:c>
      <x:c r="S20" s="17" t="n">
        <x:f>IF(AND(S$7&gt;=$C20,S$7&lt;=$D20),1,0)</x:f>
        <x:v>0</x:v>
      </x:c>
      <x:c r="T20" s="17" t="n">
        <x:f>IF(AND(T$7&gt;=$C20,T$7&lt;=$D20),1,0)</x:f>
        <x:v>0</x:v>
      </x:c>
      <x:c r="U20" s="17" t="n">
        <x:f>IF(AND(U$7&gt;=$C20,U$7&lt;=$D20),1,0)</x:f>
        <x:v>0</x:v>
      </x:c>
      <x:c r="V20" s="17" t="n">
        <x:f>IF(AND(V$7&gt;=$C20,V$7&lt;=$D20),1,0)</x:f>
        <x:v>0</x:v>
      </x:c>
      <x:c r="W20" s="17" t="n">
        <x:f>IF(AND(W$7&gt;=$C20,W$7&lt;=$D20),1,0)</x:f>
        <x:v>0</x:v>
      </x:c>
      <x:c r="X20" s="17" t="n">
        <x:f>IF(AND(X$7&gt;=$C20,X$7&lt;=$D20),1,0)</x:f>
        <x:v>0</x:v>
      </x:c>
      <x:c r="Y20" s="17" t="n">
        <x:f>IF(AND(Y$7&gt;=$C20,Y$7&lt;=$D20),1,0)</x:f>
        <x:v>0</x:v>
      </x:c>
      <x:c r="Z20" s="17" t="n">
        <x:f>IF(AND(Z$7&gt;=$C20,Z$7&lt;=$D20),1,0)</x:f>
        <x:v>0</x:v>
      </x:c>
      <x:c r="AA20" s="17" t="n">
        <x:f>IF(AND(AA$7&gt;=$C20,AA$7&lt;=$D20),1,0)</x:f>
        <x:v>0</x:v>
      </x:c>
      <x:c r="AB20" s="17" t="n">
        <x:f>IF(AND(AB$7&gt;=$C20,AB$7&lt;=$D20),1,0)</x:f>
        <x:v>0</x:v>
      </x:c>
      <x:c r="AC20" s="17" t="n">
        <x:f>IF(AND(AC$7&gt;=$C20,AC$7&lt;=$D20),1,0)</x:f>
        <x:v>0</x:v>
      </x:c>
    </x:row>
    <x:row r="21" ht="23" customHeight="1">
      <x:c r="A21" s="1" t="str">
        <x:v>12</x:v>
      </x:c>
      <x:c r="B21" s="1" t="str">
        <x:v>Review SLA, repeat use and caregiver continuity</x:v>
      </x:c>
      <x:c r="C21" s="13" t="n">
        <x:v>2</x:v>
      </x:c>
      <x:c r="D21" s="13" t="n">
        <x:v>4</x:v>
      </x:c>
      <x:c r="E21" s="14" t="n">
        <x:f>D21-C21+1</x:f>
        <x:v>3</x:v>
      </x:c>
      <x:c r="F21" s="17" t="n">
        <x:f>IF(AND(F$7&gt;=$C21,F$7&lt;=$D21),1,0)</x:f>
        <x:v>0</x:v>
      </x:c>
      <x:c r="G21" s="17" t="n">
        <x:f>IF(AND(G$7&gt;=$C21,G$7&lt;=$D21),1,0)</x:f>
        <x:v>1</x:v>
      </x:c>
      <x:c r="H21" s="17" t="n">
        <x:f>IF(AND(H$7&gt;=$C21,H$7&lt;=$D21),1,0)</x:f>
        <x:v>1</x:v>
      </x:c>
      <x:c r="I21" s="17" t="n">
        <x:f>IF(AND(I$7&gt;=$C21,I$7&lt;=$D21),1,0)</x:f>
        <x:v>1</x:v>
      </x:c>
      <x:c r="J21" s="17" t="n">
        <x:f>IF(AND(J$7&gt;=$C21,J$7&lt;=$D21),1,0)</x:f>
        <x:v>0</x:v>
      </x:c>
      <x:c r="K21" s="17" t="n">
        <x:f>IF(AND(K$7&gt;=$C21,K$7&lt;=$D21),1,0)</x:f>
        <x:v>0</x:v>
      </x:c>
      <x:c r="L21" s="17" t="n">
        <x:f>IF(AND(L$7&gt;=$C21,L$7&lt;=$D21),1,0)</x:f>
        <x:v>0</x:v>
      </x:c>
      <x:c r="M21" s="17" t="n">
        <x:f>IF(AND(M$7&gt;=$C21,M$7&lt;=$D21),1,0)</x:f>
        <x:v>0</x:v>
      </x:c>
      <x:c r="N21" s="17" t="n">
        <x:f>IF(AND(N$7&gt;=$C21,N$7&lt;=$D21),1,0)</x:f>
        <x:v>0</x:v>
      </x:c>
      <x:c r="O21" s="17" t="n">
        <x:f>IF(AND(O$7&gt;=$C21,O$7&lt;=$D21),1,0)</x:f>
        <x:v>0</x:v>
      </x:c>
      <x:c r="P21" s="17" t="n">
        <x:f>IF(AND(P$7&gt;=$C21,P$7&lt;=$D21),1,0)</x:f>
        <x:v>0</x:v>
      </x:c>
      <x:c r="Q21" s="17" t="n">
        <x:f>IF(AND(Q$7&gt;=$C21,Q$7&lt;=$D21),1,0)</x:f>
        <x:v>0</x:v>
      </x:c>
      <x:c r="R21" s="36" t="n">
        <x:f>IF(AND(R$7&gt;=$C21,R$7&lt;=$D21),1,0)</x:f>
        <x:v>0</x:v>
      </x:c>
      <x:c r="S21" s="17" t="n">
        <x:f>IF(AND(S$7&gt;=$C21,S$7&lt;=$D21),1,0)</x:f>
        <x:v>0</x:v>
      </x:c>
      <x:c r="T21" s="17" t="n">
        <x:f>IF(AND(T$7&gt;=$C21,T$7&lt;=$D21),1,0)</x:f>
        <x:v>0</x:v>
      </x:c>
      <x:c r="U21" s="17" t="n">
        <x:f>IF(AND(U$7&gt;=$C21,U$7&lt;=$D21),1,0)</x:f>
        <x:v>0</x:v>
      </x:c>
      <x:c r="V21" s="17" t="n">
        <x:f>IF(AND(V$7&gt;=$C21,V$7&lt;=$D21),1,0)</x:f>
        <x:v>0</x:v>
      </x:c>
      <x:c r="W21" s="17" t="n">
        <x:f>IF(AND(W$7&gt;=$C21,W$7&lt;=$D21),1,0)</x:f>
        <x:v>0</x:v>
      </x:c>
      <x:c r="X21" s="17" t="n">
        <x:f>IF(AND(X$7&gt;=$C21,X$7&lt;=$D21),1,0)</x:f>
        <x:v>0</x:v>
      </x:c>
      <x:c r="Y21" s="17" t="n">
        <x:f>IF(AND(Y$7&gt;=$C21,Y$7&lt;=$D21),1,0)</x:f>
        <x:v>0</x:v>
      </x:c>
      <x:c r="Z21" s="17" t="n">
        <x:f>IF(AND(Z$7&gt;=$C21,Z$7&lt;=$D21),1,0)</x:f>
        <x:v>0</x:v>
      </x:c>
      <x:c r="AA21" s="17" t="n">
        <x:f>IF(AND(AA$7&gt;=$C21,AA$7&lt;=$D21),1,0)</x:f>
        <x:v>0</x:v>
      </x:c>
      <x:c r="AB21" s="17" t="n">
        <x:f>IF(AND(AB$7&gt;=$C21,AB$7&lt;=$D21),1,0)</x:f>
        <x:v>0</x:v>
      </x:c>
      <x:c r="AC21" s="17" t="n">
        <x:f>IF(AND(AC$7&gt;=$C21,AC$7&lt;=$D21),1,0)</x:f>
        <x:v>0</x:v>
      </x:c>
    </x:row>
    <x:row r="22" ht="23" customHeight="1">
      <x:c r="A22" s="19" t="str">
        <x:v>13</x:v>
      </x:c>
      <x:c r="B22" s="19" t="str">
        <x:v>GATE: approve municipal expansion</x:v>
      </x:c>
      <x:c r="C22" s="20" t="n">
        <x:v>4</x:v>
      </x:c>
      <x:c r="D22" s="20" t="n">
        <x:v>4</x:v>
      </x:c>
      <x:c r="E22" s="21" t="n">
        <x:f>D22-C22+1</x:f>
        <x:v>1</x:v>
      </x:c>
      <x:c r="F22" s="22" t="str">
        <x:f>IF(F$7=$C22,"◆","")</x:f>
      </x:c>
      <x:c r="G22" s="22" t="str">
        <x:f>IF(G$7=$C22,"◆","")</x:f>
      </x:c>
      <x:c r="H22" s="22" t="str">
        <x:f>IF(H$7=$C22,"◆","")</x:f>
      </x:c>
      <x:c r="I22" s="22" t="str">
        <x:f>IF(I$7=$C22,"◆","")</x:f>
        <x:v>◆</x:v>
      </x:c>
      <x:c r="J22" s="22" t="str">
        <x:f>IF(J$7=$C22,"◆","")</x:f>
      </x:c>
      <x:c r="K22" s="22" t="str">
        <x:f>IF(K$7=$C22,"◆","")</x:f>
      </x:c>
      <x:c r="L22" s="22" t="str">
        <x:f>IF(L$7=$C22,"◆","")</x:f>
      </x:c>
      <x:c r="M22" s="22" t="str">
        <x:f>IF(M$7=$C22,"◆","")</x:f>
      </x:c>
      <x:c r="N22" s="22" t="str">
        <x:f>IF(N$7=$C22,"◆","")</x:f>
      </x:c>
      <x:c r="O22" s="22" t="str">
        <x:f>IF(O$7=$C22,"◆","")</x:f>
      </x:c>
      <x:c r="P22" s="22" t="str">
        <x:f>IF(P$7=$C22,"◆","")</x:f>
      </x:c>
      <x:c r="Q22" s="22" t="str">
        <x:f>IF(Q$7=$C22,"◆","")</x:f>
      </x:c>
      <x:c r="R22" s="37" t="str">
        <x:f>IF(R$7=$C22,"◆","")</x:f>
      </x:c>
      <x:c r="S22" s="22" t="str">
        <x:f>IF(S$7=$C22,"◆","")</x:f>
      </x:c>
      <x:c r="T22" s="22" t="str">
        <x:f>IF(T$7=$C22,"◆","")</x:f>
      </x:c>
      <x:c r="U22" s="22" t="str">
        <x:f>IF(U$7=$C22,"◆","")</x:f>
      </x:c>
      <x:c r="V22" s="22" t="str">
        <x:f>IF(V$7=$C22,"◆","")</x:f>
      </x:c>
      <x:c r="W22" s="22" t="str">
        <x:f>IF(W$7=$C22,"◆","")</x:f>
      </x:c>
      <x:c r="X22" s="22" t="str">
        <x:f>IF(X$7=$C22,"◆","")</x:f>
      </x:c>
      <x:c r="Y22" s="22" t="str">
        <x:f>IF(Y$7=$C22,"◆","")</x:f>
      </x:c>
      <x:c r="Z22" s="22" t="str">
        <x:f>IF(Z$7=$C22,"◆","")</x:f>
      </x:c>
      <x:c r="AA22" s="22" t="str">
        <x:f>IF(AA$7=$C22,"◆","")</x:f>
      </x:c>
      <x:c r="AB22" s="22" t="str">
        <x:f>IF(AB$7=$C22,"◆","")</x:f>
      </x:c>
      <x:c r="AC22" s="22" t="str">
        <x:f>IF(AC$7=$C22,"◆","")</x:f>
      </x:c>
    </x:row>
    <x:row r="23" ht="23" customHeight="1">
      <x:c r="A23" s="26"/>
      <x:c r="B23" s="26" t="str">
        <x:v>MUNICIPAL EXPANSION</x:v>
      </x:c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39"/>
      <x:c r="S23" s="26"/>
      <x:c r="T23" s="26"/>
      <x:c r="U23" s="26"/>
      <x:c r="V23" s="26"/>
      <x:c r="W23" s="26"/>
      <x:c r="X23" s="26"/>
      <x:c r="Y23" s="26"/>
      <x:c r="Z23" s="26"/>
      <x:c r="AA23" s="26"/>
      <x:c r="AB23" s="26"/>
      <x:c r="AC23" s="26"/>
    </x:row>
    <x:row r="24" ht="23" customHeight="1">
      <x:c r="A24" s="1" t="str">
        <x:v>14</x:v>
      </x:c>
      <x:c r="B24" s="1" t="str">
        <x:v>Expand to 8–12 barangays in pilot municipality</x:v>
      </x:c>
      <x:c r="C24" s="13" t="n">
        <x:v>5</x:v>
      </x:c>
      <x:c r="D24" s="13" t="n">
        <x:v>9</x:v>
      </x:c>
      <x:c r="E24" s="14" t="n">
        <x:f>D24-C24+1</x:f>
        <x:v>5</x:v>
      </x:c>
      <x:c r="F24" s="17" t="n">
        <x:f>IF(AND(F$7&gt;=$C24,F$7&lt;=$D24),1,0)</x:f>
        <x:v>0</x:v>
      </x:c>
      <x:c r="G24" s="17" t="n">
        <x:f>IF(AND(G$7&gt;=$C24,G$7&lt;=$D24),1,0)</x:f>
        <x:v>0</x:v>
      </x:c>
      <x:c r="H24" s="17" t="n">
        <x:f>IF(AND(H$7&gt;=$C24,H$7&lt;=$D24),1,0)</x:f>
        <x:v>0</x:v>
      </x:c>
      <x:c r="I24" s="17" t="n">
        <x:f>IF(AND(I$7&gt;=$C24,I$7&lt;=$D24),1,0)</x:f>
        <x:v>0</x:v>
      </x:c>
      <x:c r="J24" s="17" t="n">
        <x:f>IF(AND(J$7&gt;=$C24,J$7&lt;=$D24),1,0)</x:f>
        <x:v>1</x:v>
      </x:c>
      <x:c r="K24" s="17" t="n">
        <x:f>IF(AND(K$7&gt;=$C24,K$7&lt;=$D24),1,0)</x:f>
        <x:v>1</x:v>
      </x:c>
      <x:c r="L24" s="17" t="n">
        <x:f>IF(AND(L$7&gt;=$C24,L$7&lt;=$D24),1,0)</x:f>
        <x:v>1</x:v>
      </x:c>
      <x:c r="M24" s="17" t="n">
        <x:f>IF(AND(M$7&gt;=$C24,M$7&lt;=$D24),1,0)</x:f>
        <x:v>1</x:v>
      </x:c>
      <x:c r="N24" s="17" t="n">
        <x:f>IF(AND(N$7&gt;=$C24,N$7&lt;=$D24),1,0)</x:f>
        <x:v>1</x:v>
      </x:c>
      <x:c r="O24" s="17" t="n">
        <x:f>IF(AND(O$7&gt;=$C24,O$7&lt;=$D24),1,0)</x:f>
        <x:v>0</x:v>
      </x:c>
      <x:c r="P24" s="17" t="n">
        <x:f>IF(AND(P$7&gt;=$C24,P$7&lt;=$D24),1,0)</x:f>
        <x:v>0</x:v>
      </x:c>
      <x:c r="Q24" s="17" t="n">
        <x:f>IF(AND(Q$7&gt;=$C24,Q$7&lt;=$D24),1,0)</x:f>
        <x:v>0</x:v>
      </x:c>
      <x:c r="R24" s="36" t="n">
        <x:f>IF(AND(R$7&gt;=$C24,R$7&lt;=$D24),1,0)</x:f>
        <x:v>0</x:v>
      </x:c>
      <x:c r="S24" s="17" t="n">
        <x:f>IF(AND(S$7&gt;=$C24,S$7&lt;=$D24),1,0)</x:f>
        <x:v>0</x:v>
      </x:c>
      <x:c r="T24" s="17" t="n">
        <x:f>IF(AND(T$7&gt;=$C24,T$7&lt;=$D24),1,0)</x:f>
        <x:v>0</x:v>
      </x:c>
      <x:c r="U24" s="17" t="n">
        <x:f>IF(AND(U$7&gt;=$C24,U$7&lt;=$D24),1,0)</x:f>
        <x:v>0</x:v>
      </x:c>
      <x:c r="V24" s="17" t="n">
        <x:f>IF(AND(V$7&gt;=$C24,V$7&lt;=$D24),1,0)</x:f>
        <x:v>0</x:v>
      </x:c>
      <x:c r="W24" s="17" t="n">
        <x:f>IF(AND(W$7&gt;=$C24,W$7&lt;=$D24),1,0)</x:f>
        <x:v>0</x:v>
      </x:c>
      <x:c r="X24" s="17" t="n">
        <x:f>IF(AND(X$7&gt;=$C24,X$7&lt;=$D24),1,0)</x:f>
        <x:v>0</x:v>
      </x:c>
      <x:c r="Y24" s="17" t="n">
        <x:f>IF(AND(Y$7&gt;=$C24,Y$7&lt;=$D24),1,0)</x:f>
        <x:v>0</x:v>
      </x:c>
      <x:c r="Z24" s="17" t="n">
        <x:f>IF(AND(Z$7&gt;=$C24,Z$7&lt;=$D24),1,0)</x:f>
        <x:v>0</x:v>
      </x:c>
      <x:c r="AA24" s="17" t="n">
        <x:f>IF(AND(AA$7&gt;=$C24,AA$7&lt;=$D24),1,0)</x:f>
        <x:v>0</x:v>
      </x:c>
      <x:c r="AB24" s="17" t="n">
        <x:f>IF(AND(AB$7&gt;=$C24,AB$7&lt;=$D24),1,0)</x:f>
        <x:v>0</x:v>
      </x:c>
      <x:c r="AC24" s="17" t="n">
        <x:f>IF(AND(AC$7&gt;=$C24,AC$7&lt;=$D24),1,0)</x:f>
        <x:v>0</x:v>
      </x:c>
    </x:row>
    <x:row r="25" ht="23" customHeight="1">
      <x:c r="A25" s="1" t="str">
        <x:v>15</x:v>
      </x:c>
      <x:c r="B25" s="1" t="str">
        <x:v>Introduce pooled NEMT and referral coordination</x:v>
      </x:c>
      <x:c r="C25" s="13" t="n">
        <x:v>5</x:v>
      </x:c>
      <x:c r="D25" s="13" t="n">
        <x:v>9</x:v>
      </x:c>
      <x:c r="E25" s="14" t="n">
        <x:f>D25-C25+1</x:f>
        <x:v>5</x:v>
      </x:c>
      <x:c r="F25" s="17" t="n">
        <x:f>IF(AND(F$7&gt;=$C25,F$7&lt;=$D25),1,0)</x:f>
        <x:v>0</x:v>
      </x:c>
      <x:c r="G25" s="17" t="n">
        <x:f>IF(AND(G$7&gt;=$C25,G$7&lt;=$D25),1,0)</x:f>
        <x:v>0</x:v>
      </x:c>
      <x:c r="H25" s="17" t="n">
        <x:f>IF(AND(H$7&gt;=$C25,H$7&lt;=$D25),1,0)</x:f>
        <x:v>0</x:v>
      </x:c>
      <x:c r="I25" s="17" t="n">
        <x:f>IF(AND(I$7&gt;=$C25,I$7&lt;=$D25),1,0)</x:f>
        <x:v>0</x:v>
      </x:c>
      <x:c r="J25" s="17" t="n">
        <x:f>IF(AND(J$7&gt;=$C25,J$7&lt;=$D25),1,0)</x:f>
        <x:v>1</x:v>
      </x:c>
      <x:c r="K25" s="17" t="n">
        <x:f>IF(AND(K$7&gt;=$C25,K$7&lt;=$D25),1,0)</x:f>
        <x:v>1</x:v>
      </x:c>
      <x:c r="L25" s="17" t="n">
        <x:f>IF(AND(L$7&gt;=$C25,L$7&lt;=$D25),1,0)</x:f>
        <x:v>1</x:v>
      </x:c>
      <x:c r="M25" s="17" t="n">
        <x:f>IF(AND(M$7&gt;=$C25,M$7&lt;=$D25),1,0)</x:f>
        <x:v>1</x:v>
      </x:c>
      <x:c r="N25" s="17" t="n">
        <x:f>IF(AND(N$7&gt;=$C25,N$7&lt;=$D25),1,0)</x:f>
        <x:v>1</x:v>
      </x:c>
      <x:c r="O25" s="17" t="n">
        <x:f>IF(AND(O$7&gt;=$C25,O$7&lt;=$D25),1,0)</x:f>
        <x:v>0</x:v>
      </x:c>
      <x:c r="P25" s="17" t="n">
        <x:f>IF(AND(P$7&gt;=$C25,P$7&lt;=$D25),1,0)</x:f>
        <x:v>0</x:v>
      </x:c>
      <x:c r="Q25" s="17" t="n">
        <x:f>IF(AND(Q$7&gt;=$C25,Q$7&lt;=$D25),1,0)</x:f>
        <x:v>0</x:v>
      </x:c>
      <x:c r="R25" s="36" t="n">
        <x:f>IF(AND(R$7&gt;=$C25,R$7&lt;=$D25),1,0)</x:f>
        <x:v>0</x:v>
      </x:c>
      <x:c r="S25" s="17" t="n">
        <x:f>IF(AND(S$7&gt;=$C25,S$7&lt;=$D25),1,0)</x:f>
        <x:v>0</x:v>
      </x:c>
      <x:c r="T25" s="17" t="n">
        <x:f>IF(AND(T$7&gt;=$C25,T$7&lt;=$D25),1,0)</x:f>
        <x:v>0</x:v>
      </x:c>
      <x:c r="U25" s="17" t="n">
        <x:f>IF(AND(U$7&gt;=$C25,U$7&lt;=$D25),1,0)</x:f>
        <x:v>0</x:v>
      </x:c>
      <x:c r="V25" s="17" t="n">
        <x:f>IF(AND(V$7&gt;=$C25,V$7&lt;=$D25),1,0)</x:f>
        <x:v>0</x:v>
      </x:c>
      <x:c r="W25" s="17" t="n">
        <x:f>IF(AND(W$7&gt;=$C25,W$7&lt;=$D25),1,0)</x:f>
        <x:v>0</x:v>
      </x:c>
      <x:c r="X25" s="17" t="n">
        <x:f>IF(AND(X$7&gt;=$C25,X$7&lt;=$D25),1,0)</x:f>
        <x:v>0</x:v>
      </x:c>
      <x:c r="Y25" s="17" t="n">
        <x:f>IF(AND(Y$7&gt;=$C25,Y$7&lt;=$D25),1,0)</x:f>
        <x:v>0</x:v>
      </x:c>
      <x:c r="Z25" s="17" t="n">
        <x:f>IF(AND(Z$7&gt;=$C25,Z$7&lt;=$D25),1,0)</x:f>
        <x:v>0</x:v>
      </x:c>
      <x:c r="AA25" s="17" t="n">
        <x:f>IF(AND(AA$7&gt;=$C25,AA$7&lt;=$D25),1,0)</x:f>
        <x:v>0</x:v>
      </x:c>
      <x:c r="AB25" s="17" t="n">
        <x:f>IF(AND(AB$7&gt;=$C25,AB$7&lt;=$D25),1,0)</x:f>
        <x:v>0</x:v>
      </x:c>
      <x:c r="AC25" s="17" t="n">
        <x:f>IF(AND(AC$7&gt;=$C25,AC$7&lt;=$D25),1,0)</x:f>
        <x:v>0</x:v>
      </x:c>
    </x:row>
    <x:row r="26" ht="23" customHeight="1">
      <x:c r="A26" s="1" t="str">
        <x:v>16</x:v>
      </x:c>
      <x:c r="B26" s="1" t="str">
        <x:v>Add respite packages, family updates and Rx routing</x:v>
      </x:c>
      <x:c r="C26" s="13" t="n">
        <x:v>5</x:v>
      </x:c>
      <x:c r="D26" s="13" t="n">
        <x:v>9</x:v>
      </x:c>
      <x:c r="E26" s="14" t="n">
        <x:f>D26-C26+1</x:f>
        <x:v>5</x:v>
      </x:c>
      <x:c r="F26" s="17" t="n">
        <x:f>IF(AND(F$7&gt;=$C26,F$7&lt;=$D26),1,0)</x:f>
        <x:v>0</x:v>
      </x:c>
      <x:c r="G26" s="17" t="n">
        <x:f>IF(AND(G$7&gt;=$C26,G$7&lt;=$D26),1,0)</x:f>
        <x:v>0</x:v>
      </x:c>
      <x:c r="H26" s="17" t="n">
        <x:f>IF(AND(H$7&gt;=$C26,H$7&lt;=$D26),1,0)</x:f>
        <x:v>0</x:v>
      </x:c>
      <x:c r="I26" s="17" t="n">
        <x:f>IF(AND(I$7&gt;=$C26,I$7&lt;=$D26),1,0)</x:f>
        <x:v>0</x:v>
      </x:c>
      <x:c r="J26" s="17" t="n">
        <x:f>IF(AND(J$7&gt;=$C26,J$7&lt;=$D26),1,0)</x:f>
        <x:v>1</x:v>
      </x:c>
      <x:c r="K26" s="17" t="n">
        <x:f>IF(AND(K$7&gt;=$C26,K$7&lt;=$D26),1,0)</x:f>
        <x:v>1</x:v>
      </x:c>
      <x:c r="L26" s="17" t="n">
        <x:f>IF(AND(L$7&gt;=$C26,L$7&lt;=$D26),1,0)</x:f>
        <x:v>1</x:v>
      </x:c>
      <x:c r="M26" s="17" t="n">
        <x:f>IF(AND(M$7&gt;=$C26,M$7&lt;=$D26),1,0)</x:f>
        <x:v>1</x:v>
      </x:c>
      <x:c r="N26" s="17" t="n">
        <x:f>IF(AND(N$7&gt;=$C26,N$7&lt;=$D26),1,0)</x:f>
        <x:v>1</x:v>
      </x:c>
      <x:c r="O26" s="17" t="n">
        <x:f>IF(AND(O$7&gt;=$C26,O$7&lt;=$D26),1,0)</x:f>
        <x:v>0</x:v>
      </x:c>
      <x:c r="P26" s="17" t="n">
        <x:f>IF(AND(P$7&gt;=$C26,P$7&lt;=$D26),1,0)</x:f>
        <x:v>0</x:v>
      </x:c>
      <x:c r="Q26" s="17" t="n">
        <x:f>IF(AND(Q$7&gt;=$C26,Q$7&lt;=$D26),1,0)</x:f>
        <x:v>0</x:v>
      </x:c>
      <x:c r="R26" s="36" t="n">
        <x:f>IF(AND(R$7&gt;=$C26,R$7&lt;=$D26),1,0)</x:f>
        <x:v>0</x:v>
      </x:c>
      <x:c r="S26" s="17" t="n">
        <x:f>IF(AND(S$7&gt;=$C26,S$7&lt;=$D26),1,0)</x:f>
        <x:v>0</x:v>
      </x:c>
      <x:c r="T26" s="17" t="n">
        <x:f>IF(AND(T$7&gt;=$C26,T$7&lt;=$D26),1,0)</x:f>
        <x:v>0</x:v>
      </x:c>
      <x:c r="U26" s="17" t="n">
        <x:f>IF(AND(U$7&gt;=$C26,U$7&lt;=$D26),1,0)</x:f>
        <x:v>0</x:v>
      </x:c>
      <x:c r="V26" s="17" t="n">
        <x:f>IF(AND(V$7&gt;=$C26,V$7&lt;=$D26),1,0)</x:f>
        <x:v>0</x:v>
      </x:c>
      <x:c r="W26" s="17" t="n">
        <x:f>IF(AND(W$7&gt;=$C26,W$7&lt;=$D26),1,0)</x:f>
        <x:v>0</x:v>
      </x:c>
      <x:c r="X26" s="17" t="n">
        <x:f>IF(AND(X$7&gt;=$C26,X$7&lt;=$D26),1,0)</x:f>
        <x:v>0</x:v>
      </x:c>
      <x:c r="Y26" s="17" t="n">
        <x:f>IF(AND(Y$7&gt;=$C26,Y$7&lt;=$D26),1,0)</x:f>
        <x:v>0</x:v>
      </x:c>
      <x:c r="Z26" s="17" t="n">
        <x:f>IF(AND(Z$7&gt;=$C26,Z$7&lt;=$D26),1,0)</x:f>
        <x:v>0</x:v>
      </x:c>
      <x:c r="AA26" s="17" t="n">
        <x:f>IF(AND(AA$7&gt;=$C26,AA$7&lt;=$D26),1,0)</x:f>
        <x:v>0</x:v>
      </x:c>
      <x:c r="AB26" s="17" t="n">
        <x:f>IF(AND(AB$7&gt;=$C26,AB$7&lt;=$D26),1,0)</x:f>
        <x:v>0</x:v>
      </x:c>
      <x:c r="AC26" s="17" t="n">
        <x:f>IF(AND(AC$7&gt;=$C26,AC$7&lt;=$D26),1,0)</x:f>
        <x:v>0</x:v>
      </x:c>
    </x:row>
    <x:row r="27" ht="23" customHeight="1">
      <x:c r="A27" s="1" t="str">
        <x:v>17</x:v>
      </x:c>
      <x:c r="B27" s="1" t="str">
        <x:v>Complete tier registry and LGU reconciliation</x:v>
      </x:c>
      <x:c r="C27" s="13" t="n">
        <x:v>3</x:v>
      </x:c>
      <x:c r="D27" s="13" t="n">
        <x:v>6</x:v>
      </x:c>
      <x:c r="E27" s="14" t="n">
        <x:f>D27-C27+1</x:f>
        <x:v>4</x:v>
      </x:c>
      <x:c r="F27" s="17" t="n">
        <x:f>IF(AND(F$7&gt;=$C27,F$7&lt;=$D27),1,0)</x:f>
        <x:v>0</x:v>
      </x:c>
      <x:c r="G27" s="17" t="n">
        <x:f>IF(AND(G$7&gt;=$C27,G$7&lt;=$D27),1,0)</x:f>
        <x:v>0</x:v>
      </x:c>
      <x:c r="H27" s="17" t="n">
        <x:f>IF(AND(H$7&gt;=$C27,H$7&lt;=$D27),1,0)</x:f>
        <x:v>1</x:v>
      </x:c>
      <x:c r="I27" s="17" t="n">
        <x:f>IF(AND(I$7&gt;=$C27,I$7&lt;=$D27),1,0)</x:f>
        <x:v>1</x:v>
      </x:c>
      <x:c r="J27" s="17" t="n">
        <x:f>IF(AND(J$7&gt;=$C27,J$7&lt;=$D27),1,0)</x:f>
        <x:v>1</x:v>
      </x:c>
      <x:c r="K27" s="17" t="n">
        <x:f>IF(AND(K$7&gt;=$C27,K$7&lt;=$D27),1,0)</x:f>
        <x:v>1</x:v>
      </x:c>
      <x:c r="L27" s="17" t="n">
        <x:f>IF(AND(L$7&gt;=$C27,L$7&lt;=$D27),1,0)</x:f>
        <x:v>0</x:v>
      </x:c>
      <x:c r="M27" s="17" t="n">
        <x:f>IF(AND(M$7&gt;=$C27,M$7&lt;=$D27),1,0)</x:f>
        <x:v>0</x:v>
      </x:c>
      <x:c r="N27" s="17" t="n">
        <x:f>IF(AND(N$7&gt;=$C27,N$7&lt;=$D27),1,0)</x:f>
        <x:v>0</x:v>
      </x:c>
      <x:c r="O27" s="17" t="n">
        <x:f>IF(AND(O$7&gt;=$C27,O$7&lt;=$D27),1,0)</x:f>
        <x:v>0</x:v>
      </x:c>
      <x:c r="P27" s="17" t="n">
        <x:f>IF(AND(P$7&gt;=$C27,P$7&lt;=$D27),1,0)</x:f>
        <x:v>0</x:v>
      </x:c>
      <x:c r="Q27" s="17" t="n">
        <x:f>IF(AND(Q$7&gt;=$C27,Q$7&lt;=$D27),1,0)</x:f>
        <x:v>0</x:v>
      </x:c>
      <x:c r="R27" s="36" t="n">
        <x:f>IF(AND(R$7&gt;=$C27,R$7&lt;=$D27),1,0)</x:f>
        <x:v>0</x:v>
      </x:c>
      <x:c r="S27" s="17" t="n">
        <x:f>IF(AND(S$7&gt;=$C27,S$7&lt;=$D27),1,0)</x:f>
        <x:v>0</x:v>
      </x:c>
      <x:c r="T27" s="17" t="n">
        <x:f>IF(AND(T$7&gt;=$C27,T$7&lt;=$D27),1,0)</x:f>
        <x:v>0</x:v>
      </x:c>
      <x:c r="U27" s="17" t="n">
        <x:f>IF(AND(U$7&gt;=$C27,U$7&lt;=$D27),1,0)</x:f>
        <x:v>0</x:v>
      </x:c>
      <x:c r="V27" s="17" t="n">
        <x:f>IF(AND(V$7&gt;=$C27,V$7&lt;=$D27),1,0)</x:f>
        <x:v>0</x:v>
      </x:c>
      <x:c r="W27" s="17" t="n">
        <x:f>IF(AND(W$7&gt;=$C27,W$7&lt;=$D27),1,0)</x:f>
        <x:v>0</x:v>
      </x:c>
      <x:c r="X27" s="17" t="n">
        <x:f>IF(AND(X$7&gt;=$C27,X$7&lt;=$D27),1,0)</x:f>
        <x:v>0</x:v>
      </x:c>
      <x:c r="Y27" s="17" t="n">
        <x:f>IF(AND(Y$7&gt;=$C27,Y$7&lt;=$D27),1,0)</x:f>
        <x:v>0</x:v>
      </x:c>
      <x:c r="Z27" s="17" t="n">
        <x:f>IF(AND(Z$7&gt;=$C27,Z$7&lt;=$D27),1,0)</x:f>
        <x:v>0</x:v>
      </x:c>
      <x:c r="AA27" s="17" t="n">
        <x:f>IF(AND(AA$7&gt;=$C27,AA$7&lt;=$D27),1,0)</x:f>
        <x:v>0</x:v>
      </x:c>
      <x:c r="AB27" s="17" t="n">
        <x:f>IF(AND(AB$7&gt;=$C27,AB$7&lt;=$D27),1,0)</x:f>
        <x:v>0</x:v>
      </x:c>
      <x:c r="AC27" s="17" t="n">
        <x:f>IF(AND(AC$7&gt;=$C27,AC$7&lt;=$D27),1,0)</x:f>
        <x:v>0</x:v>
      </x:c>
    </x:row>
    <x:row r="28" ht="23" customHeight="1">
      <x:c r="A28" s="1" t="str">
        <x:v>18</x:v>
      </x:c>
      <x:c r="B28" s="1" t="str">
        <x:v>Add SMS, local languages and assisted access</x:v>
      </x:c>
      <x:c r="C28" s="13" t="n">
        <x:v>5</x:v>
      </x:c>
      <x:c r="D28" s="13" t="n">
        <x:v>9</x:v>
      </x:c>
      <x:c r="E28" s="14" t="n">
        <x:f>D28-C28+1</x:f>
        <x:v>5</x:v>
      </x:c>
      <x:c r="F28" s="17" t="n">
        <x:f>IF(AND(F$7&gt;=$C28,F$7&lt;=$D28),1,0)</x:f>
        <x:v>0</x:v>
      </x:c>
      <x:c r="G28" s="17" t="n">
        <x:f>IF(AND(G$7&gt;=$C28,G$7&lt;=$D28),1,0)</x:f>
        <x:v>0</x:v>
      </x:c>
      <x:c r="H28" s="17" t="n">
        <x:f>IF(AND(H$7&gt;=$C28,H$7&lt;=$D28),1,0)</x:f>
        <x:v>0</x:v>
      </x:c>
      <x:c r="I28" s="17" t="n">
        <x:f>IF(AND(I$7&gt;=$C28,I$7&lt;=$D28),1,0)</x:f>
        <x:v>0</x:v>
      </x:c>
      <x:c r="J28" s="17" t="n">
        <x:f>IF(AND(J$7&gt;=$C28,J$7&lt;=$D28),1,0)</x:f>
        <x:v>1</x:v>
      </x:c>
      <x:c r="K28" s="17" t="n">
        <x:f>IF(AND(K$7&gt;=$C28,K$7&lt;=$D28),1,0)</x:f>
        <x:v>1</x:v>
      </x:c>
      <x:c r="L28" s="17" t="n">
        <x:f>IF(AND(L$7&gt;=$C28,L$7&lt;=$D28),1,0)</x:f>
        <x:v>1</x:v>
      </x:c>
      <x:c r="M28" s="17" t="n">
        <x:f>IF(AND(M$7&gt;=$C28,M$7&lt;=$D28),1,0)</x:f>
        <x:v>1</x:v>
      </x:c>
      <x:c r="N28" s="17" t="n">
        <x:f>IF(AND(N$7&gt;=$C28,N$7&lt;=$D28),1,0)</x:f>
        <x:v>1</x:v>
      </x:c>
      <x:c r="O28" s="17" t="n">
        <x:f>IF(AND(O$7&gt;=$C28,O$7&lt;=$D28),1,0)</x:f>
        <x:v>0</x:v>
      </x:c>
      <x:c r="P28" s="17" t="n">
        <x:f>IF(AND(P$7&gt;=$C28,P$7&lt;=$D28),1,0)</x:f>
        <x:v>0</x:v>
      </x:c>
      <x:c r="Q28" s="17" t="n">
        <x:f>IF(AND(Q$7&gt;=$C28,Q$7&lt;=$D28),1,0)</x:f>
        <x:v>0</x:v>
      </x:c>
      <x:c r="R28" s="36" t="n">
        <x:f>IF(AND(R$7&gt;=$C28,R$7&lt;=$D28),1,0)</x:f>
        <x:v>0</x:v>
      </x:c>
      <x:c r="S28" s="17" t="n">
        <x:f>IF(AND(S$7&gt;=$C28,S$7&lt;=$D28),1,0)</x:f>
        <x:v>0</x:v>
      </x:c>
      <x:c r="T28" s="17" t="n">
        <x:f>IF(AND(T$7&gt;=$C28,T$7&lt;=$D28),1,0)</x:f>
        <x:v>0</x:v>
      </x:c>
      <x:c r="U28" s="17" t="n">
        <x:f>IF(AND(U$7&gt;=$C28,U$7&lt;=$D28),1,0)</x:f>
        <x:v>0</x:v>
      </x:c>
      <x:c r="V28" s="17" t="n">
        <x:f>IF(AND(V$7&gt;=$C28,V$7&lt;=$D28),1,0)</x:f>
        <x:v>0</x:v>
      </x:c>
      <x:c r="W28" s="17" t="n">
        <x:f>IF(AND(W$7&gt;=$C28,W$7&lt;=$D28),1,0)</x:f>
        <x:v>0</x:v>
      </x:c>
      <x:c r="X28" s="17" t="n">
        <x:f>IF(AND(X$7&gt;=$C28,X$7&lt;=$D28),1,0)</x:f>
        <x:v>0</x:v>
      </x:c>
      <x:c r="Y28" s="17" t="n">
        <x:f>IF(AND(Y$7&gt;=$C28,Y$7&lt;=$D28),1,0)</x:f>
        <x:v>0</x:v>
      </x:c>
      <x:c r="Z28" s="17" t="n">
        <x:f>IF(AND(Z$7&gt;=$C28,Z$7&lt;=$D28),1,0)</x:f>
        <x:v>0</x:v>
      </x:c>
      <x:c r="AA28" s="17" t="n">
        <x:f>IF(AND(AA$7&gt;=$C28,AA$7&lt;=$D28),1,0)</x:f>
        <x:v>0</x:v>
      </x:c>
      <x:c r="AB28" s="17" t="n">
        <x:f>IF(AND(AB$7&gt;=$C28,AB$7&lt;=$D28),1,0)</x:f>
        <x:v>0</x:v>
      </x:c>
      <x:c r="AC28" s="17" t="n">
        <x:f>IF(AND(AC$7&gt;=$C28,AC$7&lt;=$D28),1,0)</x:f>
        <x:v>0</x:v>
      </x:c>
    </x:row>
    <x:row r="29" ht="23" customHeight="1">
      <x:c r="A29" s="19" t="str">
        <x:v>19</x:v>
      </x:c>
      <x:c r="B29" s="19" t="str">
        <x:v>GATE: confirm municipal results</x:v>
      </x:c>
      <x:c r="C29" s="20" t="n">
        <x:v>9</x:v>
      </x:c>
      <x:c r="D29" s="20" t="n">
        <x:v>9</x:v>
      </x:c>
      <x:c r="E29" s="21" t="n">
        <x:f>D29-C29+1</x:f>
        <x:v>1</x:v>
      </x:c>
      <x:c r="F29" s="22" t="str">
        <x:f>IF(F$7=$C29,"◆","")</x:f>
      </x:c>
      <x:c r="G29" s="22" t="str">
        <x:f>IF(G$7=$C29,"◆","")</x:f>
      </x:c>
      <x:c r="H29" s="22" t="str">
        <x:f>IF(H$7=$C29,"◆","")</x:f>
      </x:c>
      <x:c r="I29" s="22" t="str">
        <x:f>IF(I$7=$C29,"◆","")</x:f>
      </x:c>
      <x:c r="J29" s="22" t="str">
        <x:f>IF(J$7=$C29,"◆","")</x:f>
      </x:c>
      <x:c r="K29" s="22" t="str">
        <x:f>IF(K$7=$C29,"◆","")</x:f>
      </x:c>
      <x:c r="L29" s="22" t="str">
        <x:f>IF(L$7=$C29,"◆","")</x:f>
      </x:c>
      <x:c r="M29" s="22" t="str">
        <x:f>IF(M$7=$C29,"◆","")</x:f>
      </x:c>
      <x:c r="N29" s="22" t="str">
        <x:f>IF(N$7=$C29,"◆","")</x:f>
        <x:v>◆</x:v>
      </x:c>
      <x:c r="O29" s="22" t="str">
        <x:f>IF(O$7=$C29,"◆","")</x:f>
      </x:c>
      <x:c r="P29" s="22" t="str">
        <x:f>IF(P$7=$C29,"◆","")</x:f>
      </x:c>
      <x:c r="Q29" s="22" t="str">
        <x:f>IF(Q$7=$C29,"◆","")</x:f>
      </x:c>
      <x:c r="R29" s="37" t="str">
        <x:f>IF(R$7=$C29,"◆","")</x:f>
      </x:c>
      <x:c r="S29" s="22" t="str">
        <x:f>IF(S$7=$C29,"◆","")</x:f>
      </x:c>
      <x:c r="T29" s="22" t="str">
        <x:f>IF(T$7=$C29,"◆","")</x:f>
      </x:c>
      <x:c r="U29" s="22" t="str">
        <x:f>IF(U$7=$C29,"◆","")</x:f>
      </x:c>
      <x:c r="V29" s="22" t="str">
        <x:f>IF(V$7=$C29,"◆","")</x:f>
      </x:c>
      <x:c r="W29" s="22" t="str">
        <x:f>IF(W$7=$C29,"◆","")</x:f>
      </x:c>
      <x:c r="X29" s="22" t="str">
        <x:f>IF(X$7=$C29,"◆","")</x:f>
      </x:c>
      <x:c r="Y29" s="22" t="str">
        <x:f>IF(Y$7=$C29,"◆","")</x:f>
      </x:c>
      <x:c r="Z29" s="22" t="str">
        <x:f>IF(Z$7=$C29,"◆","")</x:f>
      </x:c>
      <x:c r="AA29" s="22" t="str">
        <x:f>IF(AA$7=$C29,"◆","")</x:f>
      </x:c>
      <x:c r="AB29" s="22" t="str">
        <x:f>IF(AB$7=$C29,"◆","")</x:f>
      </x:c>
      <x:c r="AC29" s="22" t="str">
        <x:f>IF(AC$7=$C29,"◆","")</x:f>
      </x:c>
    </x:row>
    <x:row r="30" ht="23" customHeight="1">
      <x:c r="A30" s="28"/>
      <x:c r="B30" s="28" t="str">
        <x:v>PROVINCIAL EXPANSION</x:v>
      </x:c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40"/>
      <x:c r="S30" s="28"/>
      <x:c r="T30" s="28"/>
      <x:c r="U30" s="28"/>
      <x:c r="V30" s="28"/>
      <x:c r="W30" s="28"/>
      <x:c r="X30" s="28"/>
      <x:c r="Y30" s="28"/>
      <x:c r="Z30" s="28"/>
      <x:c r="AA30" s="28"/>
      <x:c r="AB30" s="28"/>
      <x:c r="AC30" s="28"/>
    </x:row>
    <x:row r="31" ht="23" customHeight="1">
      <x:c r="A31" s="1" t="str">
        <x:v>20</x:v>
      </x:c>
      <x:c r="B31" s="1" t="str">
        <x:v>Stage expansion into additional municipalities</x:v>
      </x:c>
      <x:c r="C31" s="13" t="n">
        <x:v>10</x:v>
      </x:c>
      <x:c r="D31" s="13" t="n">
        <x:v>18</x:v>
      </x:c>
      <x:c r="E31" s="14" t="n">
        <x:f>D31-C31+1</x:f>
        <x:v>9</x:v>
      </x:c>
      <x:c r="F31" s="17" t="n">
        <x:f>IF(AND(F$7&gt;=$C31,F$7&lt;=$D31),1,0)</x:f>
        <x:v>0</x:v>
      </x:c>
      <x:c r="G31" s="17" t="n">
        <x:f>IF(AND(G$7&gt;=$C31,G$7&lt;=$D31),1,0)</x:f>
        <x:v>0</x:v>
      </x:c>
      <x:c r="H31" s="17" t="n">
        <x:f>IF(AND(H$7&gt;=$C31,H$7&lt;=$D31),1,0)</x:f>
        <x:v>0</x:v>
      </x:c>
      <x:c r="I31" s="17" t="n">
        <x:f>IF(AND(I$7&gt;=$C31,I$7&lt;=$D31),1,0)</x:f>
        <x:v>0</x:v>
      </x:c>
      <x:c r="J31" s="17" t="n">
        <x:f>IF(AND(J$7&gt;=$C31,J$7&lt;=$D31),1,0)</x:f>
        <x:v>0</x:v>
      </x:c>
      <x:c r="K31" s="17" t="n">
        <x:f>IF(AND(K$7&gt;=$C31,K$7&lt;=$D31),1,0)</x:f>
        <x:v>0</x:v>
      </x:c>
      <x:c r="L31" s="17" t="n">
        <x:f>IF(AND(L$7&gt;=$C31,L$7&lt;=$D31),1,0)</x:f>
        <x:v>0</x:v>
      </x:c>
      <x:c r="M31" s="17" t="n">
        <x:f>IF(AND(M$7&gt;=$C31,M$7&lt;=$D31),1,0)</x:f>
        <x:v>0</x:v>
      </x:c>
      <x:c r="N31" s="17" t="n">
        <x:f>IF(AND(N$7&gt;=$C31,N$7&lt;=$D31),1,0)</x:f>
        <x:v>0</x:v>
      </x:c>
      <x:c r="O31" s="17" t="n">
        <x:f>IF(AND(O$7&gt;=$C31,O$7&lt;=$D31),1,0)</x:f>
        <x:v>1</x:v>
      </x:c>
      <x:c r="P31" s="17" t="n">
        <x:f>IF(AND(P$7&gt;=$C31,P$7&lt;=$D31),1,0)</x:f>
        <x:v>1</x:v>
      </x:c>
      <x:c r="Q31" s="17" t="n">
        <x:f>IF(AND(Q$7&gt;=$C31,Q$7&lt;=$D31),1,0)</x:f>
        <x:v>1</x:v>
      </x:c>
      <x:c r="R31" s="36" t="n">
        <x:f>IF(AND(R$7&gt;=$C31,R$7&lt;=$D31),1,0)</x:f>
        <x:v>1</x:v>
      </x:c>
      <x:c r="S31" s="17" t="n">
        <x:f>IF(AND(S$7&gt;=$C31,S$7&lt;=$D31),1,0)</x:f>
        <x:v>1</x:v>
      </x:c>
      <x:c r="T31" s="17" t="n">
        <x:f>IF(AND(T$7&gt;=$C31,T$7&lt;=$D31),1,0)</x:f>
        <x:v>1</x:v>
      </x:c>
      <x:c r="U31" s="17" t="n">
        <x:f>IF(AND(U$7&gt;=$C31,U$7&lt;=$D31),1,0)</x:f>
        <x:v>1</x:v>
      </x:c>
      <x:c r="V31" s="17" t="n">
        <x:f>IF(AND(V$7&gt;=$C31,V$7&lt;=$D31),1,0)</x:f>
        <x:v>1</x:v>
      </x:c>
      <x:c r="W31" s="17" t="n">
        <x:f>IF(AND(W$7&gt;=$C31,W$7&lt;=$D31),1,0)</x:f>
        <x:v>1</x:v>
      </x:c>
      <x:c r="X31" s="17" t="n">
        <x:f>IF(AND(X$7&gt;=$C31,X$7&lt;=$D31),1,0)</x:f>
        <x:v>0</x:v>
      </x:c>
      <x:c r="Y31" s="17" t="n">
        <x:f>IF(AND(Y$7&gt;=$C31,Y$7&lt;=$D31),1,0)</x:f>
        <x:v>0</x:v>
      </x:c>
      <x:c r="Z31" s="17" t="n">
        <x:f>IF(AND(Z$7&gt;=$C31,Z$7&lt;=$D31),1,0)</x:f>
        <x:v>0</x:v>
      </x:c>
      <x:c r="AA31" s="17" t="n">
        <x:f>IF(AND(AA$7&gt;=$C31,AA$7&lt;=$D31),1,0)</x:f>
        <x:v>0</x:v>
      </x:c>
      <x:c r="AB31" s="17" t="n">
        <x:f>IF(AND(AB$7&gt;=$C31,AB$7&lt;=$D31),1,0)</x:f>
        <x:v>0</x:v>
      </x:c>
      <x:c r="AC31" s="17" t="n">
        <x:f>IF(AND(AC$7&gt;=$C31,AC$7&lt;=$D31),1,0)</x:f>
        <x:v>0</x:v>
      </x:c>
    </x:row>
    <x:row r="32" ht="23" customHeight="1">
      <x:c r="A32" s="1" t="str">
        <x:v>21</x:v>
      </x:c>
      <x:c r="B32" s="1" t="str">
        <x:v>Formalize CVMC / institutional care contracts</x:v>
      </x:c>
      <x:c r="C32" s="13" t="n">
        <x:v>10</x:v>
      </x:c>
      <x:c r="D32" s="13" t="n">
        <x:v>18</x:v>
      </x:c>
      <x:c r="E32" s="14" t="n">
        <x:f>D32-C32+1</x:f>
        <x:v>9</x:v>
      </x:c>
      <x:c r="F32" s="17" t="n">
        <x:f>IF(AND(F$7&gt;=$C32,F$7&lt;=$D32),1,0)</x:f>
        <x:v>0</x:v>
      </x:c>
      <x:c r="G32" s="17" t="n">
        <x:f>IF(AND(G$7&gt;=$C32,G$7&lt;=$D32),1,0)</x:f>
        <x:v>0</x:v>
      </x:c>
      <x:c r="H32" s="17" t="n">
        <x:f>IF(AND(H$7&gt;=$C32,H$7&lt;=$D32),1,0)</x:f>
        <x:v>0</x:v>
      </x:c>
      <x:c r="I32" s="17" t="n">
        <x:f>IF(AND(I$7&gt;=$C32,I$7&lt;=$D32),1,0)</x:f>
        <x:v>0</x:v>
      </x:c>
      <x:c r="J32" s="17" t="n">
        <x:f>IF(AND(J$7&gt;=$C32,J$7&lt;=$D32),1,0)</x:f>
        <x:v>0</x:v>
      </x:c>
      <x:c r="K32" s="17" t="n">
        <x:f>IF(AND(K$7&gt;=$C32,K$7&lt;=$D32),1,0)</x:f>
        <x:v>0</x:v>
      </x:c>
      <x:c r="L32" s="17" t="n">
        <x:f>IF(AND(L$7&gt;=$C32,L$7&lt;=$D32),1,0)</x:f>
        <x:v>0</x:v>
      </x:c>
      <x:c r="M32" s="17" t="n">
        <x:f>IF(AND(M$7&gt;=$C32,M$7&lt;=$D32),1,0)</x:f>
        <x:v>0</x:v>
      </x:c>
      <x:c r="N32" s="17" t="n">
        <x:f>IF(AND(N$7&gt;=$C32,N$7&lt;=$D32),1,0)</x:f>
        <x:v>0</x:v>
      </x:c>
      <x:c r="O32" s="17" t="n">
        <x:f>IF(AND(O$7&gt;=$C32,O$7&lt;=$D32),1,0)</x:f>
        <x:v>1</x:v>
      </x:c>
      <x:c r="P32" s="17" t="n">
        <x:f>IF(AND(P$7&gt;=$C32,P$7&lt;=$D32),1,0)</x:f>
        <x:v>1</x:v>
      </x:c>
      <x:c r="Q32" s="17" t="n">
        <x:f>IF(AND(Q$7&gt;=$C32,Q$7&lt;=$D32),1,0)</x:f>
        <x:v>1</x:v>
      </x:c>
      <x:c r="R32" s="36" t="n">
        <x:f>IF(AND(R$7&gt;=$C32,R$7&lt;=$D32),1,0)</x:f>
        <x:v>1</x:v>
      </x:c>
      <x:c r="S32" s="17" t="n">
        <x:f>IF(AND(S$7&gt;=$C32,S$7&lt;=$D32),1,0)</x:f>
        <x:v>1</x:v>
      </x:c>
      <x:c r="T32" s="17" t="n">
        <x:f>IF(AND(T$7&gt;=$C32,T$7&lt;=$D32),1,0)</x:f>
        <x:v>1</x:v>
      </x:c>
      <x:c r="U32" s="17" t="n">
        <x:f>IF(AND(U$7&gt;=$C32,U$7&lt;=$D32),1,0)</x:f>
        <x:v>1</x:v>
      </x:c>
      <x:c r="V32" s="17" t="n">
        <x:f>IF(AND(V$7&gt;=$C32,V$7&lt;=$D32),1,0)</x:f>
        <x:v>1</x:v>
      </x:c>
      <x:c r="W32" s="17" t="n">
        <x:f>IF(AND(W$7&gt;=$C32,W$7&lt;=$D32),1,0)</x:f>
        <x:v>1</x:v>
      </x:c>
      <x:c r="X32" s="17" t="n">
        <x:f>IF(AND(X$7&gt;=$C32,X$7&lt;=$D32),1,0)</x:f>
        <x:v>0</x:v>
      </x:c>
      <x:c r="Y32" s="17" t="n">
        <x:f>IF(AND(Y$7&gt;=$C32,Y$7&lt;=$D32),1,0)</x:f>
        <x:v>0</x:v>
      </x:c>
      <x:c r="Z32" s="17" t="n">
        <x:f>IF(AND(Z$7&gt;=$C32,Z$7&lt;=$D32),1,0)</x:f>
        <x:v>0</x:v>
      </x:c>
      <x:c r="AA32" s="17" t="n">
        <x:f>IF(AND(AA$7&gt;=$C32,AA$7&lt;=$D32),1,0)</x:f>
        <x:v>0</x:v>
      </x:c>
      <x:c r="AB32" s="17" t="n">
        <x:f>IF(AND(AB$7&gt;=$C32,AB$7&lt;=$D32),1,0)</x:f>
        <x:v>0</x:v>
      </x:c>
      <x:c r="AC32" s="17" t="n">
        <x:f>IF(AND(AC$7&gt;=$C32,AC$7&lt;=$D32),1,0)</x:f>
        <x:v>0</x:v>
      </x:c>
    </x:row>
    <x:row r="33" ht="23" customHeight="1">
      <x:c r="A33" s="1" t="str">
        <x:v>22</x:v>
      </x:c>
      <x:c r="B33" s="1" t="str">
        <x:v>Scale caregiver cohorts and train local trainers</x:v>
      </x:c>
      <x:c r="C33" s="13" t="n">
        <x:v>10</x:v>
      </x:c>
      <x:c r="D33" s="13" t="n">
        <x:v>18</x:v>
      </x:c>
      <x:c r="E33" s="14" t="n">
        <x:f>D33-C33+1</x:f>
        <x:v>9</x:v>
      </x:c>
      <x:c r="F33" s="17" t="n">
        <x:f>IF(AND(F$7&gt;=$C33,F$7&lt;=$D33),1,0)</x:f>
        <x:v>0</x:v>
      </x:c>
      <x:c r="G33" s="17" t="n">
        <x:f>IF(AND(G$7&gt;=$C33,G$7&lt;=$D33),1,0)</x:f>
        <x:v>0</x:v>
      </x:c>
      <x:c r="H33" s="17" t="n">
        <x:f>IF(AND(H$7&gt;=$C33,H$7&lt;=$D33),1,0)</x:f>
        <x:v>0</x:v>
      </x:c>
      <x:c r="I33" s="17" t="n">
        <x:f>IF(AND(I$7&gt;=$C33,I$7&lt;=$D33),1,0)</x:f>
        <x:v>0</x:v>
      </x:c>
      <x:c r="J33" s="17" t="n">
        <x:f>IF(AND(J$7&gt;=$C33,J$7&lt;=$D33),1,0)</x:f>
        <x:v>0</x:v>
      </x:c>
      <x:c r="K33" s="17" t="n">
        <x:f>IF(AND(K$7&gt;=$C33,K$7&lt;=$D33),1,0)</x:f>
        <x:v>0</x:v>
      </x:c>
      <x:c r="L33" s="17" t="n">
        <x:f>IF(AND(L$7&gt;=$C33,L$7&lt;=$D33),1,0)</x:f>
        <x:v>0</x:v>
      </x:c>
      <x:c r="M33" s="17" t="n">
        <x:f>IF(AND(M$7&gt;=$C33,M$7&lt;=$D33),1,0)</x:f>
        <x:v>0</x:v>
      </x:c>
      <x:c r="N33" s="17" t="n">
        <x:f>IF(AND(N$7&gt;=$C33,N$7&lt;=$D33),1,0)</x:f>
        <x:v>0</x:v>
      </x:c>
      <x:c r="O33" s="17" t="n">
        <x:f>IF(AND(O$7&gt;=$C33,O$7&lt;=$D33),1,0)</x:f>
        <x:v>1</x:v>
      </x:c>
      <x:c r="P33" s="17" t="n">
        <x:f>IF(AND(P$7&gt;=$C33,P$7&lt;=$D33),1,0)</x:f>
        <x:v>1</x:v>
      </x:c>
      <x:c r="Q33" s="17" t="n">
        <x:f>IF(AND(Q$7&gt;=$C33,Q$7&lt;=$D33),1,0)</x:f>
        <x:v>1</x:v>
      </x:c>
      <x:c r="R33" s="36" t="n">
        <x:f>IF(AND(R$7&gt;=$C33,R$7&lt;=$D33),1,0)</x:f>
        <x:v>1</x:v>
      </x:c>
      <x:c r="S33" s="17" t="n">
        <x:f>IF(AND(S$7&gt;=$C33,S$7&lt;=$D33),1,0)</x:f>
        <x:v>1</x:v>
      </x:c>
      <x:c r="T33" s="17" t="n">
        <x:f>IF(AND(T$7&gt;=$C33,T$7&lt;=$D33),1,0)</x:f>
        <x:v>1</x:v>
      </x:c>
      <x:c r="U33" s="17" t="n">
        <x:f>IF(AND(U$7&gt;=$C33,U$7&lt;=$D33),1,0)</x:f>
        <x:v>1</x:v>
      </x:c>
      <x:c r="V33" s="17" t="n">
        <x:f>IF(AND(V$7&gt;=$C33,V$7&lt;=$D33),1,0)</x:f>
        <x:v>1</x:v>
      </x:c>
      <x:c r="W33" s="17" t="n">
        <x:f>IF(AND(W$7&gt;=$C33,W$7&lt;=$D33),1,0)</x:f>
        <x:v>1</x:v>
      </x:c>
      <x:c r="X33" s="17" t="n">
        <x:f>IF(AND(X$7&gt;=$C33,X$7&lt;=$D33),1,0)</x:f>
        <x:v>0</x:v>
      </x:c>
      <x:c r="Y33" s="17" t="n">
        <x:f>IF(AND(Y$7&gt;=$C33,Y$7&lt;=$D33),1,0)</x:f>
        <x:v>0</x:v>
      </x:c>
      <x:c r="Z33" s="17" t="n">
        <x:f>IF(AND(Z$7&gt;=$C33,Z$7&lt;=$D33),1,0)</x:f>
        <x:v>0</x:v>
      </x:c>
      <x:c r="AA33" s="17" t="n">
        <x:f>IF(AND(AA$7&gt;=$C33,AA$7&lt;=$D33),1,0)</x:f>
        <x:v>0</x:v>
      </x:c>
      <x:c r="AB33" s="17" t="n">
        <x:f>IF(AND(AB$7&gt;=$C33,AB$7&lt;=$D33),1,0)</x:f>
        <x:v>0</x:v>
      </x:c>
      <x:c r="AC33" s="17" t="n">
        <x:f>IF(AND(AC$7&gt;=$C33,AC$7&lt;=$D33),1,0)</x:f>
        <x:v>0</x:v>
      </x:c>
    </x:row>
    <x:row r="34" ht="23" customHeight="1">
      <x:c r="A34" s="1" t="str">
        <x:v>23</x:v>
      </x:c>
      <x:c r="B34" s="1" t="str">
        <x:v>Add elder knowledge-transfer wellness sessions</x:v>
      </x:c>
      <x:c r="C34" s="13" t="n">
        <x:v>10</x:v>
      </x:c>
      <x:c r="D34" s="13" t="n">
        <x:v>18</x:v>
      </x:c>
      <x:c r="E34" s="14" t="n">
        <x:f>D34-C34+1</x:f>
        <x:v>9</x:v>
      </x:c>
      <x:c r="F34" s="17" t="n">
        <x:f>IF(AND(F$7&gt;=$C34,F$7&lt;=$D34),1,0)</x:f>
        <x:v>0</x:v>
      </x:c>
      <x:c r="G34" s="17" t="n">
        <x:f>IF(AND(G$7&gt;=$C34,G$7&lt;=$D34),1,0)</x:f>
        <x:v>0</x:v>
      </x:c>
      <x:c r="H34" s="17" t="n">
        <x:f>IF(AND(H$7&gt;=$C34,H$7&lt;=$D34),1,0)</x:f>
        <x:v>0</x:v>
      </x:c>
      <x:c r="I34" s="17" t="n">
        <x:f>IF(AND(I$7&gt;=$C34,I$7&lt;=$D34),1,0)</x:f>
        <x:v>0</x:v>
      </x:c>
      <x:c r="J34" s="17" t="n">
        <x:f>IF(AND(J$7&gt;=$C34,J$7&lt;=$D34),1,0)</x:f>
        <x:v>0</x:v>
      </x:c>
      <x:c r="K34" s="17" t="n">
        <x:f>IF(AND(K$7&gt;=$C34,K$7&lt;=$D34),1,0)</x:f>
        <x:v>0</x:v>
      </x:c>
      <x:c r="L34" s="17" t="n">
        <x:f>IF(AND(L$7&gt;=$C34,L$7&lt;=$D34),1,0)</x:f>
        <x:v>0</x:v>
      </x:c>
      <x:c r="M34" s="17" t="n">
        <x:f>IF(AND(M$7&gt;=$C34,M$7&lt;=$D34),1,0)</x:f>
        <x:v>0</x:v>
      </x:c>
      <x:c r="N34" s="17" t="n">
        <x:f>IF(AND(N$7&gt;=$C34,N$7&lt;=$D34),1,0)</x:f>
        <x:v>0</x:v>
      </x:c>
      <x:c r="O34" s="17" t="n">
        <x:f>IF(AND(O$7&gt;=$C34,O$7&lt;=$D34),1,0)</x:f>
        <x:v>1</x:v>
      </x:c>
      <x:c r="P34" s="17" t="n">
        <x:f>IF(AND(P$7&gt;=$C34,P$7&lt;=$D34),1,0)</x:f>
        <x:v>1</x:v>
      </x:c>
      <x:c r="Q34" s="17" t="n">
        <x:f>IF(AND(Q$7&gt;=$C34,Q$7&lt;=$D34),1,0)</x:f>
        <x:v>1</x:v>
      </x:c>
      <x:c r="R34" s="36" t="n">
        <x:f>IF(AND(R$7&gt;=$C34,R$7&lt;=$D34),1,0)</x:f>
        <x:v>1</x:v>
      </x:c>
      <x:c r="S34" s="17" t="n">
        <x:f>IF(AND(S$7&gt;=$C34,S$7&lt;=$D34),1,0)</x:f>
        <x:v>1</x:v>
      </x:c>
      <x:c r="T34" s="17" t="n">
        <x:f>IF(AND(T$7&gt;=$C34,T$7&lt;=$D34),1,0)</x:f>
        <x:v>1</x:v>
      </x:c>
      <x:c r="U34" s="17" t="n">
        <x:f>IF(AND(U$7&gt;=$C34,U$7&lt;=$D34),1,0)</x:f>
        <x:v>1</x:v>
      </x:c>
      <x:c r="V34" s="17" t="n">
        <x:f>IF(AND(V$7&gt;=$C34,V$7&lt;=$D34),1,0)</x:f>
        <x:v>1</x:v>
      </x:c>
      <x:c r="W34" s="17" t="n">
        <x:f>IF(AND(W$7&gt;=$C34,W$7&lt;=$D34),1,0)</x:f>
        <x:v>1</x:v>
      </x:c>
      <x:c r="X34" s="17" t="n">
        <x:f>IF(AND(X$7&gt;=$C34,X$7&lt;=$D34),1,0)</x:f>
        <x:v>0</x:v>
      </x:c>
      <x:c r="Y34" s="17" t="n">
        <x:f>IF(AND(Y$7&gt;=$C34,Y$7&lt;=$D34),1,0)</x:f>
        <x:v>0</x:v>
      </x:c>
      <x:c r="Z34" s="17" t="n">
        <x:f>IF(AND(Z$7&gt;=$C34,Z$7&lt;=$D34),1,0)</x:f>
        <x:v>0</x:v>
      </x:c>
      <x:c r="AA34" s="17" t="n">
        <x:f>IF(AND(AA$7&gt;=$C34,AA$7&lt;=$D34),1,0)</x:f>
        <x:v>0</x:v>
      </x:c>
      <x:c r="AB34" s="17" t="n">
        <x:f>IF(AND(AB$7&gt;=$C34,AB$7&lt;=$D34),1,0)</x:f>
        <x:v>0</x:v>
      </x:c>
      <x:c r="AC34" s="17" t="n">
        <x:f>IF(AND(AC$7&gt;=$C34,AC$7&lt;=$D34),1,0)</x:f>
        <x:v>0</x:v>
      </x:c>
    </x:row>
    <x:row r="35" ht="23" customHeight="1">
      <x:c r="A35" s="1" t="str">
        <x:v>24</x:v>
      </x:c>
      <x:c r="B35" s="1" t="str">
        <x:v>Introduce supervised workflow automation</x:v>
      </x:c>
      <x:c r="C35" s="13" t="n">
        <x:v>10</x:v>
      </x:c>
      <x:c r="D35" s="13" t="n">
        <x:v>18</x:v>
      </x:c>
      <x:c r="E35" s="14" t="n">
        <x:f>D35-C35+1</x:f>
        <x:v>9</x:v>
      </x:c>
      <x:c r="F35" s="17" t="n">
        <x:f>IF(AND(F$7&gt;=$C35,F$7&lt;=$D35),1,0)</x:f>
        <x:v>0</x:v>
      </x:c>
      <x:c r="G35" s="17" t="n">
        <x:f>IF(AND(G$7&gt;=$C35,G$7&lt;=$D35),1,0)</x:f>
        <x:v>0</x:v>
      </x:c>
      <x:c r="H35" s="17" t="n">
        <x:f>IF(AND(H$7&gt;=$C35,H$7&lt;=$D35),1,0)</x:f>
        <x:v>0</x:v>
      </x:c>
      <x:c r="I35" s="17" t="n">
        <x:f>IF(AND(I$7&gt;=$C35,I$7&lt;=$D35),1,0)</x:f>
        <x:v>0</x:v>
      </x:c>
      <x:c r="J35" s="17" t="n">
        <x:f>IF(AND(J$7&gt;=$C35,J$7&lt;=$D35),1,0)</x:f>
        <x:v>0</x:v>
      </x:c>
      <x:c r="K35" s="17" t="n">
        <x:f>IF(AND(K$7&gt;=$C35,K$7&lt;=$D35),1,0)</x:f>
        <x:v>0</x:v>
      </x:c>
      <x:c r="L35" s="17" t="n">
        <x:f>IF(AND(L$7&gt;=$C35,L$7&lt;=$D35),1,0)</x:f>
        <x:v>0</x:v>
      </x:c>
      <x:c r="M35" s="17" t="n">
        <x:f>IF(AND(M$7&gt;=$C35,M$7&lt;=$D35),1,0)</x:f>
        <x:v>0</x:v>
      </x:c>
      <x:c r="N35" s="17" t="n">
        <x:f>IF(AND(N$7&gt;=$C35,N$7&lt;=$D35),1,0)</x:f>
        <x:v>0</x:v>
      </x:c>
      <x:c r="O35" s="17" t="n">
        <x:f>IF(AND(O$7&gt;=$C35,O$7&lt;=$D35),1,0)</x:f>
        <x:v>1</x:v>
      </x:c>
      <x:c r="P35" s="17" t="n">
        <x:f>IF(AND(P$7&gt;=$C35,P$7&lt;=$D35),1,0)</x:f>
        <x:v>1</x:v>
      </x:c>
      <x:c r="Q35" s="17" t="n">
        <x:f>IF(AND(Q$7&gt;=$C35,Q$7&lt;=$D35),1,0)</x:f>
        <x:v>1</x:v>
      </x:c>
      <x:c r="R35" s="36" t="n">
        <x:f>IF(AND(R$7&gt;=$C35,R$7&lt;=$D35),1,0)</x:f>
        <x:v>1</x:v>
      </x:c>
      <x:c r="S35" s="17" t="n">
        <x:f>IF(AND(S$7&gt;=$C35,S$7&lt;=$D35),1,0)</x:f>
        <x:v>1</x:v>
      </x:c>
      <x:c r="T35" s="17" t="n">
        <x:f>IF(AND(T$7&gt;=$C35,T$7&lt;=$D35),1,0)</x:f>
        <x:v>1</x:v>
      </x:c>
      <x:c r="U35" s="17" t="n">
        <x:f>IF(AND(U$7&gt;=$C35,U$7&lt;=$D35),1,0)</x:f>
        <x:v>1</x:v>
      </x:c>
      <x:c r="V35" s="17" t="n">
        <x:f>IF(AND(V$7&gt;=$C35,V$7&lt;=$D35),1,0)</x:f>
        <x:v>1</x:v>
      </x:c>
      <x:c r="W35" s="17" t="n">
        <x:f>IF(AND(W$7&gt;=$C35,W$7&lt;=$D35),1,0)</x:f>
        <x:v>1</x:v>
      </x:c>
      <x:c r="X35" s="17" t="n">
        <x:f>IF(AND(X$7&gt;=$C35,X$7&lt;=$D35),1,0)</x:f>
        <x:v>0</x:v>
      </x:c>
      <x:c r="Y35" s="17" t="n">
        <x:f>IF(AND(Y$7&gt;=$C35,Y$7&lt;=$D35),1,0)</x:f>
        <x:v>0</x:v>
      </x:c>
      <x:c r="Z35" s="17" t="n">
        <x:f>IF(AND(Z$7&gt;=$C35,Z$7&lt;=$D35),1,0)</x:f>
        <x:v>0</x:v>
      </x:c>
      <x:c r="AA35" s="17" t="n">
        <x:f>IF(AND(AA$7&gt;=$C35,AA$7&lt;=$D35),1,0)</x:f>
        <x:v>0</x:v>
      </x:c>
      <x:c r="AB35" s="17" t="n">
        <x:f>IF(AND(AB$7&gt;=$C35,AB$7&lt;=$D35),1,0)</x:f>
        <x:v>0</x:v>
      </x:c>
      <x:c r="AC35" s="17" t="n">
        <x:f>IF(AND(AC$7&gt;=$C35,AC$7&lt;=$D35),1,0)</x:f>
        <x:v>0</x:v>
      </x:c>
    </x:row>
    <x:row r="36" ht="23" customHeight="1">
      <x:c r="A36" s="1" t="str">
        <x:v>25</x:v>
      </x:c>
      <x:c r="B36" s="1" t="str">
        <x:v>Scale cloud hosting and performance monitoring</x:v>
      </x:c>
      <x:c r="C36" s="13" t="n">
        <x:v>13</x:v>
      </x:c>
      <x:c r="D36" s="13" t="n">
        <x:v>24</x:v>
      </x:c>
      <x:c r="E36" s="14" t="n">
        <x:f>D36-C36+1</x:f>
        <x:v>12</x:v>
      </x:c>
      <x:c r="F36" s="17" t="n">
        <x:f>IF(AND(F$7&gt;=$C36,F$7&lt;=$D36),1,0)</x:f>
        <x:v>0</x:v>
      </x:c>
      <x:c r="G36" s="17" t="n">
        <x:f>IF(AND(G$7&gt;=$C36,G$7&lt;=$D36),1,0)</x:f>
        <x:v>0</x:v>
      </x:c>
      <x:c r="H36" s="17" t="n">
        <x:f>IF(AND(H$7&gt;=$C36,H$7&lt;=$D36),1,0)</x:f>
        <x:v>0</x:v>
      </x:c>
      <x:c r="I36" s="17" t="n">
        <x:f>IF(AND(I$7&gt;=$C36,I$7&lt;=$D36),1,0)</x:f>
        <x:v>0</x:v>
      </x:c>
      <x:c r="J36" s="17" t="n">
        <x:f>IF(AND(J$7&gt;=$C36,J$7&lt;=$D36),1,0)</x:f>
        <x:v>0</x:v>
      </x:c>
      <x:c r="K36" s="17" t="n">
        <x:f>IF(AND(K$7&gt;=$C36,K$7&lt;=$D36),1,0)</x:f>
        <x:v>0</x:v>
      </x:c>
      <x:c r="L36" s="17" t="n">
        <x:f>IF(AND(L$7&gt;=$C36,L$7&lt;=$D36),1,0)</x:f>
        <x:v>0</x:v>
      </x:c>
      <x:c r="M36" s="17" t="n">
        <x:f>IF(AND(M$7&gt;=$C36,M$7&lt;=$D36),1,0)</x:f>
        <x:v>0</x:v>
      </x:c>
      <x:c r="N36" s="17" t="n">
        <x:f>IF(AND(N$7&gt;=$C36,N$7&lt;=$D36),1,0)</x:f>
        <x:v>0</x:v>
      </x:c>
      <x:c r="O36" s="17" t="n">
        <x:f>IF(AND(O$7&gt;=$C36,O$7&lt;=$D36),1,0)</x:f>
        <x:v>0</x:v>
      </x:c>
      <x:c r="P36" s="17" t="n">
        <x:f>IF(AND(P$7&gt;=$C36,P$7&lt;=$D36),1,0)</x:f>
        <x:v>0</x:v>
      </x:c>
      <x:c r="Q36" s="17" t="n">
        <x:f>IF(AND(Q$7&gt;=$C36,Q$7&lt;=$D36),1,0)</x:f>
        <x:v>0</x:v>
      </x:c>
      <x:c r="R36" s="36" t="n">
        <x:f>IF(AND(R$7&gt;=$C36,R$7&lt;=$D36),1,0)</x:f>
        <x:v>1</x:v>
      </x:c>
      <x:c r="S36" s="17" t="n">
        <x:f>IF(AND(S$7&gt;=$C36,S$7&lt;=$D36),1,0)</x:f>
        <x:v>1</x:v>
      </x:c>
      <x:c r="T36" s="17" t="n">
        <x:f>IF(AND(T$7&gt;=$C36,T$7&lt;=$D36),1,0)</x:f>
        <x:v>1</x:v>
      </x:c>
      <x:c r="U36" s="17" t="n">
        <x:f>IF(AND(U$7&gt;=$C36,U$7&lt;=$D36),1,0)</x:f>
        <x:v>1</x:v>
      </x:c>
      <x:c r="V36" s="17" t="n">
        <x:f>IF(AND(V$7&gt;=$C36,V$7&lt;=$D36),1,0)</x:f>
        <x:v>1</x:v>
      </x:c>
      <x:c r="W36" s="17" t="n">
        <x:f>IF(AND(W$7&gt;=$C36,W$7&lt;=$D36),1,0)</x:f>
        <x:v>1</x:v>
      </x:c>
      <x:c r="X36" s="17" t="n">
        <x:f>IF(AND(X$7&gt;=$C36,X$7&lt;=$D36),1,0)</x:f>
        <x:v>1</x:v>
      </x:c>
      <x:c r="Y36" s="17" t="n">
        <x:f>IF(AND(Y$7&gt;=$C36,Y$7&lt;=$D36),1,0)</x:f>
        <x:v>1</x:v>
      </x:c>
      <x:c r="Z36" s="17" t="n">
        <x:f>IF(AND(Z$7&gt;=$C36,Z$7&lt;=$D36),1,0)</x:f>
        <x:v>1</x:v>
      </x:c>
      <x:c r="AA36" s="17" t="n">
        <x:f>IF(AND(AA$7&gt;=$C36,AA$7&lt;=$D36),1,0)</x:f>
        <x:v>1</x:v>
      </x:c>
      <x:c r="AB36" s="17" t="n">
        <x:f>IF(AND(AB$7&gt;=$C36,AB$7&lt;=$D36),1,0)</x:f>
        <x:v>1</x:v>
      </x:c>
      <x:c r="AC36" s="17" t="n">
        <x:f>IF(AND(AC$7&gt;=$C36,AC$7&lt;=$D36),1,0)</x:f>
        <x:v>1</x:v>
      </x:c>
    </x:row>
    <x:row r="37" ht="23" customHeight="1">
      <x:c r="A37" s="19" t="str">
        <x:v>26</x:v>
      </x:c>
      <x:c r="B37" s="19" t="str">
        <x:v>GATE: review provincial expansion</x:v>
      </x:c>
      <x:c r="C37" s="20" t="n">
        <x:v>18</x:v>
      </x:c>
      <x:c r="D37" s="20" t="n">
        <x:v>18</x:v>
      </x:c>
      <x:c r="E37" s="21" t="n">
        <x:f>D37-C37+1</x:f>
        <x:v>1</x:v>
      </x:c>
      <x:c r="F37" s="22" t="str">
        <x:f>IF(F$7=$C37,"◆","")</x:f>
      </x:c>
      <x:c r="G37" s="22" t="str">
        <x:f>IF(G$7=$C37,"◆","")</x:f>
      </x:c>
      <x:c r="H37" s="22" t="str">
        <x:f>IF(H$7=$C37,"◆","")</x:f>
      </x:c>
      <x:c r="I37" s="22" t="str">
        <x:f>IF(I$7=$C37,"◆","")</x:f>
      </x:c>
      <x:c r="J37" s="22" t="str">
        <x:f>IF(J$7=$C37,"◆","")</x:f>
      </x:c>
      <x:c r="K37" s="22" t="str">
        <x:f>IF(K$7=$C37,"◆","")</x:f>
      </x:c>
      <x:c r="L37" s="22" t="str">
        <x:f>IF(L$7=$C37,"◆","")</x:f>
      </x:c>
      <x:c r="M37" s="22" t="str">
        <x:f>IF(M$7=$C37,"◆","")</x:f>
      </x:c>
      <x:c r="N37" s="22" t="str">
        <x:f>IF(N$7=$C37,"◆","")</x:f>
      </x:c>
      <x:c r="O37" s="22" t="str">
        <x:f>IF(O$7=$C37,"◆","")</x:f>
      </x:c>
      <x:c r="P37" s="22" t="str">
        <x:f>IF(P$7=$C37,"◆","")</x:f>
      </x:c>
      <x:c r="Q37" s="22" t="str">
        <x:f>IF(Q$7=$C37,"◆","")</x:f>
      </x:c>
      <x:c r="R37" s="37" t="str">
        <x:f>IF(R$7=$C37,"◆","")</x:f>
      </x:c>
      <x:c r="S37" s="22" t="str">
        <x:f>IF(S$7=$C37,"◆","")</x:f>
      </x:c>
      <x:c r="T37" s="22" t="str">
        <x:f>IF(T$7=$C37,"◆","")</x:f>
      </x:c>
      <x:c r="U37" s="22" t="str">
        <x:f>IF(U$7=$C37,"◆","")</x:f>
      </x:c>
      <x:c r="V37" s="22" t="str">
        <x:f>IF(V$7=$C37,"◆","")</x:f>
      </x:c>
      <x:c r="W37" s="22" t="str">
        <x:f>IF(W$7=$C37,"◆","")</x:f>
        <x:v>◆</x:v>
      </x:c>
      <x:c r="X37" s="22" t="str">
        <x:f>IF(X$7=$C37,"◆","")</x:f>
      </x:c>
      <x:c r="Y37" s="22" t="str">
        <x:f>IF(Y$7=$C37,"◆","")</x:f>
      </x:c>
      <x:c r="Z37" s="22" t="str">
        <x:f>IF(Z$7=$C37,"◆","")</x:f>
      </x:c>
      <x:c r="AA37" s="22" t="str">
        <x:f>IF(AA$7=$C37,"◆","")</x:f>
      </x:c>
      <x:c r="AB37" s="22" t="str">
        <x:f>IF(AB$7=$C37,"◆","")</x:f>
      </x:c>
      <x:c r="AC37" s="22" t="str">
        <x:f>IF(AC$7=$C37,"◆","")</x:f>
      </x:c>
    </x:row>
    <x:row r="38" ht="23" customHeight="1">
      <x:c r="A38" s="30"/>
      <x:c r="B38" s="30" t="str">
        <x:v>CONSOLIDATION &amp; SUSTAINABILITY</x:v>
      </x:c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41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</x:row>
    <x:row r="39" ht="23" customHeight="1">
      <x:c r="A39" s="1" t="str">
        <x:v>27</x:v>
      </x:c>
      <x:c r="B39" s="1" t="str">
        <x:v>Optimize tier mix and rural cross-subsidy</x:v>
      </x:c>
      <x:c r="C39" s="13" t="n">
        <x:v>19</x:v>
      </x:c>
      <x:c r="D39" s="13" t="n">
        <x:v>24</x:v>
      </x:c>
      <x:c r="E39" s="14" t="n">
        <x:f>D39-C39+1</x:f>
        <x:v>6</x:v>
      </x:c>
      <x:c r="F39" s="17" t="n">
        <x:f>IF(AND(F$7&gt;=$C39,F$7&lt;=$D39),1,0)</x:f>
        <x:v>0</x:v>
      </x:c>
      <x:c r="G39" s="17" t="n">
        <x:f>IF(AND(G$7&gt;=$C39,G$7&lt;=$D39),1,0)</x:f>
        <x:v>0</x:v>
      </x:c>
      <x:c r="H39" s="17" t="n">
        <x:f>IF(AND(H$7&gt;=$C39,H$7&lt;=$D39),1,0)</x:f>
        <x:v>0</x:v>
      </x:c>
      <x:c r="I39" s="17" t="n">
        <x:f>IF(AND(I$7&gt;=$C39,I$7&lt;=$D39),1,0)</x:f>
        <x:v>0</x:v>
      </x:c>
      <x:c r="J39" s="17" t="n">
        <x:f>IF(AND(J$7&gt;=$C39,J$7&lt;=$D39),1,0)</x:f>
        <x:v>0</x:v>
      </x:c>
      <x:c r="K39" s="17" t="n">
        <x:f>IF(AND(K$7&gt;=$C39,K$7&lt;=$D39),1,0)</x:f>
        <x:v>0</x:v>
      </x:c>
      <x:c r="L39" s="17" t="n">
        <x:f>IF(AND(L$7&gt;=$C39,L$7&lt;=$D39),1,0)</x:f>
        <x:v>0</x:v>
      </x:c>
      <x:c r="M39" s="17" t="n">
        <x:f>IF(AND(M$7&gt;=$C39,M$7&lt;=$D39),1,0)</x:f>
        <x:v>0</x:v>
      </x:c>
      <x:c r="N39" s="17" t="n">
        <x:f>IF(AND(N$7&gt;=$C39,N$7&lt;=$D39),1,0)</x:f>
        <x:v>0</x:v>
      </x:c>
      <x:c r="O39" s="17" t="n">
        <x:f>IF(AND(O$7&gt;=$C39,O$7&lt;=$D39),1,0)</x:f>
        <x:v>0</x:v>
      </x:c>
      <x:c r="P39" s="17" t="n">
        <x:f>IF(AND(P$7&gt;=$C39,P$7&lt;=$D39),1,0)</x:f>
        <x:v>0</x:v>
      </x:c>
      <x:c r="Q39" s="17" t="n">
        <x:f>IF(AND(Q$7&gt;=$C39,Q$7&lt;=$D39),1,0)</x:f>
        <x:v>0</x:v>
      </x:c>
      <x:c r="R39" s="36" t="n">
        <x:f>IF(AND(R$7&gt;=$C39,R$7&lt;=$D39),1,0)</x:f>
        <x:v>0</x:v>
      </x:c>
      <x:c r="S39" s="17" t="n">
        <x:f>IF(AND(S$7&gt;=$C39,S$7&lt;=$D39),1,0)</x:f>
        <x:v>0</x:v>
      </x:c>
      <x:c r="T39" s="17" t="n">
        <x:f>IF(AND(T$7&gt;=$C39,T$7&lt;=$D39),1,0)</x:f>
        <x:v>0</x:v>
      </x:c>
      <x:c r="U39" s="17" t="n">
        <x:f>IF(AND(U$7&gt;=$C39,U$7&lt;=$D39),1,0)</x:f>
        <x:v>0</x:v>
      </x:c>
      <x:c r="V39" s="17" t="n">
        <x:f>IF(AND(V$7&gt;=$C39,V$7&lt;=$D39),1,0)</x:f>
        <x:v>0</x:v>
      </x:c>
      <x:c r="W39" s="17" t="n">
        <x:f>IF(AND(W$7&gt;=$C39,W$7&lt;=$D39),1,0)</x:f>
        <x:v>0</x:v>
      </x:c>
      <x:c r="X39" s="17" t="n">
        <x:f>IF(AND(X$7&gt;=$C39,X$7&lt;=$D39),1,0)</x:f>
        <x:v>1</x:v>
      </x:c>
      <x:c r="Y39" s="17" t="n">
        <x:f>IF(AND(Y$7&gt;=$C39,Y$7&lt;=$D39),1,0)</x:f>
        <x:v>1</x:v>
      </x:c>
      <x:c r="Z39" s="17" t="n">
        <x:f>IF(AND(Z$7&gt;=$C39,Z$7&lt;=$D39),1,0)</x:f>
        <x:v>1</x:v>
      </x:c>
      <x:c r="AA39" s="17" t="n">
        <x:f>IF(AND(AA$7&gt;=$C39,AA$7&lt;=$D39),1,0)</x:f>
        <x:v>1</x:v>
      </x:c>
      <x:c r="AB39" s="17" t="n">
        <x:f>IF(AND(AB$7&gt;=$C39,AB$7&lt;=$D39),1,0)</x:f>
        <x:v>1</x:v>
      </x:c>
      <x:c r="AC39" s="17" t="n">
        <x:f>IF(AND(AC$7&gt;=$C39,AC$7&lt;=$D39),1,0)</x:f>
        <x:v>1</x:v>
      </x:c>
    </x:row>
    <x:row r="40" ht="23" customHeight="1">
      <x:c r="A40" s="1" t="str">
        <x:v>28</x:v>
      </x:c>
      <x:c r="B40" s="1" t="str">
        <x:v>Renew LGU / institutional agreements</x:v>
      </x:c>
      <x:c r="C40" s="13" t="n">
        <x:v>19</x:v>
      </x:c>
      <x:c r="D40" s="13" t="n">
        <x:v>24</x:v>
      </x:c>
      <x:c r="E40" s="14" t="n">
        <x:f>D40-C40+1</x:f>
        <x:v>6</x:v>
      </x:c>
      <x:c r="F40" s="17" t="n">
        <x:f>IF(AND(F$7&gt;=$C40,F$7&lt;=$D40),1,0)</x:f>
        <x:v>0</x:v>
      </x:c>
      <x:c r="G40" s="17" t="n">
        <x:f>IF(AND(G$7&gt;=$C40,G$7&lt;=$D40),1,0)</x:f>
        <x:v>0</x:v>
      </x:c>
      <x:c r="H40" s="17" t="n">
        <x:f>IF(AND(H$7&gt;=$C40,H$7&lt;=$D40),1,0)</x:f>
        <x:v>0</x:v>
      </x:c>
      <x:c r="I40" s="17" t="n">
        <x:f>IF(AND(I$7&gt;=$C40,I$7&lt;=$D40),1,0)</x:f>
        <x:v>0</x:v>
      </x:c>
      <x:c r="J40" s="17" t="n">
        <x:f>IF(AND(J$7&gt;=$C40,J$7&lt;=$D40),1,0)</x:f>
        <x:v>0</x:v>
      </x:c>
      <x:c r="K40" s="17" t="n">
        <x:f>IF(AND(K$7&gt;=$C40,K$7&lt;=$D40),1,0)</x:f>
        <x:v>0</x:v>
      </x:c>
      <x:c r="L40" s="17" t="n">
        <x:f>IF(AND(L$7&gt;=$C40,L$7&lt;=$D40),1,0)</x:f>
        <x:v>0</x:v>
      </x:c>
      <x:c r="M40" s="17" t="n">
        <x:f>IF(AND(M$7&gt;=$C40,M$7&lt;=$D40),1,0)</x:f>
        <x:v>0</x:v>
      </x:c>
      <x:c r="N40" s="17" t="n">
        <x:f>IF(AND(N$7&gt;=$C40,N$7&lt;=$D40),1,0)</x:f>
        <x:v>0</x:v>
      </x:c>
      <x:c r="O40" s="17" t="n">
        <x:f>IF(AND(O$7&gt;=$C40,O$7&lt;=$D40),1,0)</x:f>
        <x:v>0</x:v>
      </x:c>
      <x:c r="P40" s="17" t="n">
        <x:f>IF(AND(P$7&gt;=$C40,P$7&lt;=$D40),1,0)</x:f>
        <x:v>0</x:v>
      </x:c>
      <x:c r="Q40" s="17" t="n">
        <x:f>IF(AND(Q$7&gt;=$C40,Q$7&lt;=$D40),1,0)</x:f>
        <x:v>0</x:v>
      </x:c>
      <x:c r="R40" s="36" t="n">
        <x:f>IF(AND(R$7&gt;=$C40,R$7&lt;=$D40),1,0)</x:f>
        <x:v>0</x:v>
      </x:c>
      <x:c r="S40" s="17" t="n">
        <x:f>IF(AND(S$7&gt;=$C40,S$7&lt;=$D40),1,0)</x:f>
        <x:v>0</x:v>
      </x:c>
      <x:c r="T40" s="17" t="n">
        <x:f>IF(AND(T$7&gt;=$C40,T$7&lt;=$D40),1,0)</x:f>
        <x:v>0</x:v>
      </x:c>
      <x:c r="U40" s="17" t="n">
        <x:f>IF(AND(U$7&gt;=$C40,U$7&lt;=$D40),1,0)</x:f>
        <x:v>0</x:v>
      </x:c>
      <x:c r="V40" s="17" t="n">
        <x:f>IF(AND(V$7&gt;=$C40,V$7&lt;=$D40),1,0)</x:f>
        <x:v>0</x:v>
      </x:c>
      <x:c r="W40" s="17" t="n">
        <x:f>IF(AND(W$7&gt;=$C40,W$7&lt;=$D40),1,0)</x:f>
        <x:v>0</x:v>
      </x:c>
      <x:c r="X40" s="17" t="n">
        <x:f>IF(AND(X$7&gt;=$C40,X$7&lt;=$D40),1,0)</x:f>
        <x:v>1</x:v>
      </x:c>
      <x:c r="Y40" s="17" t="n">
        <x:f>IF(AND(Y$7&gt;=$C40,Y$7&lt;=$D40),1,0)</x:f>
        <x:v>1</x:v>
      </x:c>
      <x:c r="Z40" s="17" t="n">
        <x:f>IF(AND(Z$7&gt;=$C40,Z$7&lt;=$D40),1,0)</x:f>
        <x:v>1</x:v>
      </x:c>
      <x:c r="AA40" s="17" t="n">
        <x:f>IF(AND(AA$7&gt;=$C40,AA$7&lt;=$D40),1,0)</x:f>
        <x:v>1</x:v>
      </x:c>
      <x:c r="AB40" s="17" t="n">
        <x:f>IF(AND(AB$7&gt;=$C40,AB$7&lt;=$D40),1,0)</x:f>
        <x:v>1</x:v>
      </x:c>
      <x:c r="AC40" s="17" t="n">
        <x:f>IF(AND(AC$7&gt;=$C40,AC$7&lt;=$D40),1,0)</x:f>
        <x:v>1</x:v>
      </x:c>
    </x:row>
    <x:row r="41" ht="23" customHeight="1">
      <x:c r="A41" s="1" t="str">
        <x:v>29</x:v>
      </x:c>
      <x:c r="B41" s="1" t="str">
        <x:v>Evaluate endline outcomes and affordability</x:v>
      </x:c>
      <x:c r="C41" s="13" t="n">
        <x:v>22</x:v>
      </x:c>
      <x:c r="D41" s="13" t="n">
        <x:v>24</x:v>
      </x:c>
      <x:c r="E41" s="14" t="n">
        <x:f>D41-C41+1</x:f>
        <x:v>3</x:v>
      </x:c>
      <x:c r="F41" s="17" t="n">
        <x:f>IF(AND(F$7&gt;=$C41,F$7&lt;=$D41),1,0)</x:f>
        <x:v>0</x:v>
      </x:c>
      <x:c r="G41" s="17" t="n">
        <x:f>IF(AND(G$7&gt;=$C41,G$7&lt;=$D41),1,0)</x:f>
        <x:v>0</x:v>
      </x:c>
      <x:c r="H41" s="17" t="n">
        <x:f>IF(AND(H$7&gt;=$C41,H$7&lt;=$D41),1,0)</x:f>
        <x:v>0</x:v>
      </x:c>
      <x:c r="I41" s="17" t="n">
        <x:f>IF(AND(I$7&gt;=$C41,I$7&lt;=$D41),1,0)</x:f>
        <x:v>0</x:v>
      </x:c>
      <x:c r="J41" s="17" t="n">
        <x:f>IF(AND(J$7&gt;=$C41,J$7&lt;=$D41),1,0)</x:f>
        <x:v>0</x:v>
      </x:c>
      <x:c r="K41" s="17" t="n">
        <x:f>IF(AND(K$7&gt;=$C41,K$7&lt;=$D41),1,0)</x:f>
        <x:v>0</x:v>
      </x:c>
      <x:c r="L41" s="17" t="n">
        <x:f>IF(AND(L$7&gt;=$C41,L$7&lt;=$D41),1,0)</x:f>
        <x:v>0</x:v>
      </x:c>
      <x:c r="M41" s="17" t="n">
        <x:f>IF(AND(M$7&gt;=$C41,M$7&lt;=$D41),1,0)</x:f>
        <x:v>0</x:v>
      </x:c>
      <x:c r="N41" s="17" t="n">
        <x:f>IF(AND(N$7&gt;=$C41,N$7&lt;=$D41),1,0)</x:f>
        <x:v>0</x:v>
      </x:c>
      <x:c r="O41" s="17" t="n">
        <x:f>IF(AND(O$7&gt;=$C41,O$7&lt;=$D41),1,0)</x:f>
        <x:v>0</x:v>
      </x:c>
      <x:c r="P41" s="17" t="n">
        <x:f>IF(AND(P$7&gt;=$C41,P$7&lt;=$D41),1,0)</x:f>
        <x:v>0</x:v>
      </x:c>
      <x:c r="Q41" s="17" t="n">
        <x:f>IF(AND(Q$7&gt;=$C41,Q$7&lt;=$D41),1,0)</x:f>
        <x:v>0</x:v>
      </x:c>
      <x:c r="R41" s="36" t="n">
        <x:f>IF(AND(R$7&gt;=$C41,R$7&lt;=$D41),1,0)</x:f>
        <x:v>0</x:v>
      </x:c>
      <x:c r="S41" s="17" t="n">
        <x:f>IF(AND(S$7&gt;=$C41,S$7&lt;=$D41),1,0)</x:f>
        <x:v>0</x:v>
      </x:c>
      <x:c r="T41" s="17" t="n">
        <x:f>IF(AND(T$7&gt;=$C41,T$7&lt;=$D41),1,0)</x:f>
        <x:v>0</x:v>
      </x:c>
      <x:c r="U41" s="17" t="n">
        <x:f>IF(AND(U$7&gt;=$C41,U$7&lt;=$D41),1,0)</x:f>
        <x:v>0</x:v>
      </x:c>
      <x:c r="V41" s="17" t="n">
        <x:f>IF(AND(V$7&gt;=$C41,V$7&lt;=$D41),1,0)</x:f>
        <x:v>0</x:v>
      </x:c>
      <x:c r="W41" s="17" t="n">
        <x:f>IF(AND(W$7&gt;=$C41,W$7&lt;=$D41),1,0)</x:f>
        <x:v>0</x:v>
      </x:c>
      <x:c r="X41" s="17" t="n">
        <x:f>IF(AND(X$7&gt;=$C41,X$7&lt;=$D41),1,0)</x:f>
        <x:v>0</x:v>
      </x:c>
      <x:c r="Y41" s="17" t="n">
        <x:f>IF(AND(Y$7&gt;=$C41,Y$7&lt;=$D41),1,0)</x:f>
        <x:v>0</x:v>
      </x:c>
      <x:c r="Z41" s="17" t="n">
        <x:f>IF(AND(Z$7&gt;=$C41,Z$7&lt;=$D41),1,0)</x:f>
        <x:v>0</x:v>
      </x:c>
      <x:c r="AA41" s="17" t="n">
        <x:f>IF(AND(AA$7&gt;=$C41,AA$7&lt;=$D41),1,0)</x:f>
        <x:v>1</x:v>
      </x:c>
      <x:c r="AB41" s="17" t="n">
        <x:f>IF(AND(AB$7&gt;=$C41,AB$7&lt;=$D41),1,0)</x:f>
        <x:v>1</x:v>
      </x:c>
      <x:c r="AC41" s="17" t="n">
        <x:f>IF(AND(AC$7&gt;=$C41,AC$7&lt;=$D41),1,0)</x:f>
        <x:v>1</x:v>
      </x:c>
    </x:row>
    <x:row r="42" ht="23" customHeight="1">
      <x:c r="A42" s="1" t="str">
        <x:v>30</x:v>
      </x:c>
      <x:c r="B42" s="1" t="str">
        <x:v>Prepare continuation plan and final reporting</x:v>
      </x:c>
      <x:c r="C42" s="13" t="n">
        <x:v>23</x:v>
      </x:c>
      <x:c r="D42" s="13" t="n">
        <x:v>24</x:v>
      </x:c>
      <x:c r="E42" s="14" t="n">
        <x:f>D42-C42+1</x:f>
        <x:v>2</x:v>
      </x:c>
      <x:c r="F42" s="17" t="n">
        <x:f>IF(AND(F$7&gt;=$C42,F$7&lt;=$D42),1,0)</x:f>
        <x:v>0</x:v>
      </x:c>
      <x:c r="G42" s="17" t="n">
        <x:f>IF(AND(G$7&gt;=$C42,G$7&lt;=$D42),1,0)</x:f>
        <x:v>0</x:v>
      </x:c>
      <x:c r="H42" s="17" t="n">
        <x:f>IF(AND(H$7&gt;=$C42,H$7&lt;=$D42),1,0)</x:f>
        <x:v>0</x:v>
      </x:c>
      <x:c r="I42" s="17" t="n">
        <x:f>IF(AND(I$7&gt;=$C42,I$7&lt;=$D42),1,0)</x:f>
        <x:v>0</x:v>
      </x:c>
      <x:c r="J42" s="17" t="n">
        <x:f>IF(AND(J$7&gt;=$C42,J$7&lt;=$D42),1,0)</x:f>
        <x:v>0</x:v>
      </x:c>
      <x:c r="K42" s="17" t="n">
        <x:f>IF(AND(K$7&gt;=$C42,K$7&lt;=$D42),1,0)</x:f>
        <x:v>0</x:v>
      </x:c>
      <x:c r="L42" s="17" t="n">
        <x:f>IF(AND(L$7&gt;=$C42,L$7&lt;=$D42),1,0)</x:f>
        <x:v>0</x:v>
      </x:c>
      <x:c r="M42" s="17" t="n">
        <x:f>IF(AND(M$7&gt;=$C42,M$7&lt;=$D42),1,0)</x:f>
        <x:v>0</x:v>
      </x:c>
      <x:c r="N42" s="17" t="n">
        <x:f>IF(AND(N$7&gt;=$C42,N$7&lt;=$D42),1,0)</x:f>
        <x:v>0</x:v>
      </x:c>
      <x:c r="O42" s="17" t="n">
        <x:f>IF(AND(O$7&gt;=$C42,O$7&lt;=$D42),1,0)</x:f>
        <x:v>0</x:v>
      </x:c>
      <x:c r="P42" s="17" t="n">
        <x:f>IF(AND(P$7&gt;=$C42,P$7&lt;=$D42),1,0)</x:f>
        <x:v>0</x:v>
      </x:c>
      <x:c r="Q42" s="17" t="n">
        <x:f>IF(AND(Q$7&gt;=$C42,Q$7&lt;=$D42),1,0)</x:f>
        <x:v>0</x:v>
      </x:c>
      <x:c r="R42" s="36" t="n">
        <x:f>IF(AND(R$7&gt;=$C42,R$7&lt;=$D42),1,0)</x:f>
        <x:v>0</x:v>
      </x:c>
      <x:c r="S42" s="17" t="n">
        <x:f>IF(AND(S$7&gt;=$C42,S$7&lt;=$D42),1,0)</x:f>
        <x:v>0</x:v>
      </x:c>
      <x:c r="T42" s="17" t="n">
        <x:f>IF(AND(T$7&gt;=$C42,T$7&lt;=$D42),1,0)</x:f>
        <x:v>0</x:v>
      </x:c>
      <x:c r="U42" s="17" t="n">
        <x:f>IF(AND(U$7&gt;=$C42,U$7&lt;=$D42),1,0)</x:f>
        <x:v>0</x:v>
      </x:c>
      <x:c r="V42" s="17" t="n">
        <x:f>IF(AND(V$7&gt;=$C42,V$7&lt;=$D42),1,0)</x:f>
        <x:v>0</x:v>
      </x:c>
      <x:c r="W42" s="17" t="n">
        <x:f>IF(AND(W$7&gt;=$C42,W$7&lt;=$D42),1,0)</x:f>
        <x:v>0</x:v>
      </x:c>
      <x:c r="X42" s="17" t="n">
        <x:f>IF(AND(X$7&gt;=$C42,X$7&lt;=$D42),1,0)</x:f>
        <x:v>0</x:v>
      </x:c>
      <x:c r="Y42" s="17" t="n">
        <x:f>IF(AND(Y$7&gt;=$C42,Y$7&lt;=$D42),1,0)</x:f>
        <x:v>0</x:v>
      </x:c>
      <x:c r="Z42" s="17" t="n">
        <x:f>IF(AND(Z$7&gt;=$C42,Z$7&lt;=$D42),1,0)</x:f>
        <x:v>0</x:v>
      </x:c>
      <x:c r="AA42" s="17" t="n">
        <x:f>IF(AND(AA$7&gt;=$C42,AA$7&lt;=$D42),1,0)</x:f>
        <x:v>0</x:v>
      </x:c>
      <x:c r="AB42" s="17" t="n">
        <x:f>IF(AND(AB$7&gt;=$C42,AB$7&lt;=$D42),1,0)</x:f>
        <x:v>1</x:v>
      </x:c>
      <x:c r="AC42" s="17" t="n">
        <x:f>IF(AND(AC$7&gt;=$C42,AC$7&lt;=$D42),1,0)</x:f>
        <x:v>1</x:v>
      </x:c>
    </x:row>
    <x:row r="43" ht="23" customHeight="1">
      <x:c r="A43" s="19" t="str">
        <x:v>31</x:v>
      </x:c>
      <x:c r="B43" s="19" t="str">
        <x:v>GATE: approve continuation beyond Year 2</x:v>
      </x:c>
      <x:c r="C43" s="20" t="n">
        <x:v>24</x:v>
      </x:c>
      <x:c r="D43" s="20" t="n">
        <x:v>24</x:v>
      </x:c>
      <x:c r="E43" s="21" t="n">
        <x:f>D43-C43+1</x:f>
        <x:v>1</x:v>
      </x:c>
      <x:c r="F43" s="22" t="str">
        <x:f>IF(F$7=$C43,"◆","")</x:f>
      </x:c>
      <x:c r="G43" s="22" t="str">
        <x:f>IF(G$7=$C43,"◆","")</x:f>
      </x:c>
      <x:c r="H43" s="22" t="str">
        <x:f>IF(H$7=$C43,"◆","")</x:f>
      </x:c>
      <x:c r="I43" s="22" t="str">
        <x:f>IF(I$7=$C43,"◆","")</x:f>
      </x:c>
      <x:c r="J43" s="22" t="str">
        <x:f>IF(J$7=$C43,"◆","")</x:f>
      </x:c>
      <x:c r="K43" s="22" t="str">
        <x:f>IF(K$7=$C43,"◆","")</x:f>
      </x:c>
      <x:c r="L43" s="22" t="str">
        <x:f>IF(L$7=$C43,"◆","")</x:f>
      </x:c>
      <x:c r="M43" s="22" t="str">
        <x:f>IF(M$7=$C43,"◆","")</x:f>
      </x:c>
      <x:c r="N43" s="22" t="str">
        <x:f>IF(N$7=$C43,"◆","")</x:f>
      </x:c>
      <x:c r="O43" s="22" t="str">
        <x:f>IF(O$7=$C43,"◆","")</x:f>
      </x:c>
      <x:c r="P43" s="22" t="str">
        <x:f>IF(P$7=$C43,"◆","")</x:f>
      </x:c>
      <x:c r="Q43" s="22" t="str">
        <x:f>IF(Q$7=$C43,"◆","")</x:f>
      </x:c>
      <x:c r="R43" s="37" t="str">
        <x:f>IF(R$7=$C43,"◆","")</x:f>
      </x:c>
      <x:c r="S43" s="22" t="str">
        <x:f>IF(S$7=$C43,"◆","")</x:f>
      </x:c>
      <x:c r="T43" s="22" t="str">
        <x:f>IF(T$7=$C43,"◆","")</x:f>
      </x:c>
      <x:c r="U43" s="22" t="str">
        <x:f>IF(U$7=$C43,"◆","")</x:f>
      </x:c>
      <x:c r="V43" s="22" t="str">
        <x:f>IF(V$7=$C43,"◆","")</x:f>
      </x:c>
      <x:c r="W43" s="22" t="str">
        <x:f>IF(W$7=$C43,"◆","")</x:f>
      </x:c>
      <x:c r="X43" s="22" t="str">
        <x:f>IF(X$7=$C43,"◆","")</x:f>
      </x:c>
      <x:c r="Y43" s="22" t="str">
        <x:f>IF(Y$7=$C43,"◆","")</x:f>
      </x:c>
      <x:c r="Z43" s="22" t="str">
        <x:f>IF(Z$7=$C43,"◆","")</x:f>
      </x:c>
      <x:c r="AA43" s="22" t="str">
        <x:f>IF(AA$7=$C43,"◆","")</x:f>
      </x:c>
      <x:c r="AB43" s="22" t="str">
        <x:f>IF(AB$7=$C43,"◆","")</x:f>
      </x:c>
      <x:c r="AC43" s="22" t="str">
        <x:f>IF(AC$7=$C43,"◆","")</x:f>
        <x:v>◆</x:v>
      </x:c>
    </x:row>
    <x:row r="44" ht="23" customHeight="1">
      <x:c r="A44" s="32"/>
      <x:c r="B44" s="32" t="str">
        <x:v>CONTINUOUS PROJECT SUPPORT</x:v>
      </x:c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42"/>
      <x:c r="S44" s="32"/>
      <x:c r="T44" s="32"/>
      <x:c r="U44" s="32"/>
      <x:c r="V44" s="32"/>
      <x:c r="W44" s="32"/>
      <x:c r="X44" s="32"/>
      <x:c r="Y44" s="32"/>
      <x:c r="Z44" s="32"/>
      <x:c r="AA44" s="32"/>
      <x:c r="AB44" s="32"/>
      <x:c r="AC44" s="32"/>
    </x:row>
    <x:row r="45" ht="23" customHeight="1">
      <x:c r="A45" s="1" t="str">
        <x:v>32</x:v>
      </x:c>
      <x:c r="B45" s="1" t="str">
        <x:v>Personnel, supervision and operating support</x:v>
      </x:c>
      <x:c r="C45" s="13" t="n">
        <x:v>1</x:v>
      </x:c>
      <x:c r="D45" s="13" t="n">
        <x:v>24</x:v>
      </x:c>
      <x:c r="E45" s="14" t="n">
        <x:f>D45-C45+1</x:f>
        <x:v>24</x:v>
      </x:c>
      <x:c r="F45" s="17" t="n">
        <x:f>IF(AND(F$7&gt;=$C45,F$7&lt;=$D45),1,0)</x:f>
        <x:v>1</x:v>
      </x:c>
      <x:c r="G45" s="17" t="n">
        <x:f>IF(AND(G$7&gt;=$C45,G$7&lt;=$D45),1,0)</x:f>
        <x:v>1</x:v>
      </x:c>
      <x:c r="H45" s="17" t="n">
        <x:f>IF(AND(H$7&gt;=$C45,H$7&lt;=$D45),1,0)</x:f>
        <x:v>1</x:v>
      </x:c>
      <x:c r="I45" s="17" t="n">
        <x:f>IF(AND(I$7&gt;=$C45,I$7&lt;=$D45),1,0)</x:f>
        <x:v>1</x:v>
      </x:c>
      <x:c r="J45" s="17" t="n">
        <x:f>IF(AND(J$7&gt;=$C45,J$7&lt;=$D45),1,0)</x:f>
        <x:v>1</x:v>
      </x:c>
      <x:c r="K45" s="17" t="n">
        <x:f>IF(AND(K$7&gt;=$C45,K$7&lt;=$D45),1,0)</x:f>
        <x:v>1</x:v>
      </x:c>
      <x:c r="L45" s="17" t="n">
        <x:f>IF(AND(L$7&gt;=$C45,L$7&lt;=$D45),1,0)</x:f>
        <x:v>1</x:v>
      </x:c>
      <x:c r="M45" s="17" t="n">
        <x:f>IF(AND(M$7&gt;=$C45,M$7&lt;=$D45),1,0)</x:f>
        <x:v>1</x:v>
      </x:c>
      <x:c r="N45" s="17" t="n">
        <x:f>IF(AND(N$7&gt;=$C45,N$7&lt;=$D45),1,0)</x:f>
        <x:v>1</x:v>
      </x:c>
      <x:c r="O45" s="17" t="n">
        <x:f>IF(AND(O$7&gt;=$C45,O$7&lt;=$D45),1,0)</x:f>
        <x:v>1</x:v>
      </x:c>
      <x:c r="P45" s="17" t="n">
        <x:f>IF(AND(P$7&gt;=$C45,P$7&lt;=$D45),1,0)</x:f>
        <x:v>1</x:v>
      </x:c>
      <x:c r="Q45" s="17" t="n">
        <x:f>IF(AND(Q$7&gt;=$C45,Q$7&lt;=$D45),1,0)</x:f>
        <x:v>1</x:v>
      </x:c>
      <x:c r="R45" s="36" t="n">
        <x:f>IF(AND(R$7&gt;=$C45,R$7&lt;=$D45),1,0)</x:f>
        <x:v>1</x:v>
      </x:c>
      <x:c r="S45" s="17" t="n">
        <x:f>IF(AND(S$7&gt;=$C45,S$7&lt;=$D45),1,0)</x:f>
        <x:v>1</x:v>
      </x:c>
      <x:c r="T45" s="17" t="n">
        <x:f>IF(AND(T$7&gt;=$C45,T$7&lt;=$D45),1,0)</x:f>
        <x:v>1</x:v>
      </x:c>
      <x:c r="U45" s="17" t="n">
        <x:f>IF(AND(U$7&gt;=$C45,U$7&lt;=$D45),1,0)</x:f>
        <x:v>1</x:v>
      </x:c>
      <x:c r="V45" s="17" t="n">
        <x:f>IF(AND(V$7&gt;=$C45,V$7&lt;=$D45),1,0)</x:f>
        <x:v>1</x:v>
      </x:c>
      <x:c r="W45" s="17" t="n">
        <x:f>IF(AND(W$7&gt;=$C45,W$7&lt;=$D45),1,0)</x:f>
        <x:v>1</x:v>
      </x:c>
      <x:c r="X45" s="17" t="n">
        <x:f>IF(AND(X$7&gt;=$C45,X$7&lt;=$D45),1,0)</x:f>
        <x:v>1</x:v>
      </x:c>
      <x:c r="Y45" s="17" t="n">
        <x:f>IF(AND(Y$7&gt;=$C45,Y$7&lt;=$D45),1,0)</x:f>
        <x:v>1</x:v>
      </x:c>
      <x:c r="Z45" s="17" t="n">
        <x:f>IF(AND(Z$7&gt;=$C45,Z$7&lt;=$D45),1,0)</x:f>
        <x:v>1</x:v>
      </x:c>
      <x:c r="AA45" s="17" t="n">
        <x:f>IF(AND(AA$7&gt;=$C45,AA$7&lt;=$D45),1,0)</x:f>
        <x:v>1</x:v>
      </x:c>
      <x:c r="AB45" s="17" t="n">
        <x:f>IF(AND(AB$7&gt;=$C45,AB$7&lt;=$D45),1,0)</x:f>
        <x:v>1</x:v>
      </x:c>
      <x:c r="AC45" s="17" t="n">
        <x:f>IF(AND(AC$7&gt;=$C45,AC$7&lt;=$D45),1,0)</x:f>
        <x:v>1</x:v>
      </x:c>
    </x:row>
    <x:row r="46" ht="23" customHeight="1">
      <x:c r="A46" s="1" t="str">
        <x:v>33</x:v>
      </x:c>
      <x:c r="B46" s="1" t="str">
        <x:v>Quality, safeguarding and caregiver re-screening</x:v>
      </x:c>
      <x:c r="C46" s="13" t="n">
        <x:v>2</x:v>
      </x:c>
      <x:c r="D46" s="13" t="n">
        <x:v>24</x:v>
      </x:c>
      <x:c r="E46" s="14" t="n">
        <x:f>D46-C46+1</x:f>
        <x:v>23</x:v>
      </x:c>
      <x:c r="F46" s="17" t="n">
        <x:f>IF(AND(F$7&gt;=$C46,F$7&lt;=$D46),1,0)</x:f>
        <x:v>0</x:v>
      </x:c>
      <x:c r="G46" s="17" t="n">
        <x:f>IF(AND(G$7&gt;=$C46,G$7&lt;=$D46),1,0)</x:f>
        <x:v>1</x:v>
      </x:c>
      <x:c r="H46" s="17" t="n">
        <x:f>IF(AND(H$7&gt;=$C46,H$7&lt;=$D46),1,0)</x:f>
        <x:v>1</x:v>
      </x:c>
      <x:c r="I46" s="17" t="n">
        <x:f>IF(AND(I$7&gt;=$C46,I$7&lt;=$D46),1,0)</x:f>
        <x:v>1</x:v>
      </x:c>
      <x:c r="J46" s="17" t="n">
        <x:f>IF(AND(J$7&gt;=$C46,J$7&lt;=$D46),1,0)</x:f>
        <x:v>1</x:v>
      </x:c>
      <x:c r="K46" s="17" t="n">
        <x:f>IF(AND(K$7&gt;=$C46,K$7&lt;=$D46),1,0)</x:f>
        <x:v>1</x:v>
      </x:c>
      <x:c r="L46" s="17" t="n">
        <x:f>IF(AND(L$7&gt;=$C46,L$7&lt;=$D46),1,0)</x:f>
        <x:v>1</x:v>
      </x:c>
      <x:c r="M46" s="17" t="n">
        <x:f>IF(AND(M$7&gt;=$C46,M$7&lt;=$D46),1,0)</x:f>
        <x:v>1</x:v>
      </x:c>
      <x:c r="N46" s="17" t="n">
        <x:f>IF(AND(N$7&gt;=$C46,N$7&lt;=$D46),1,0)</x:f>
        <x:v>1</x:v>
      </x:c>
      <x:c r="O46" s="17" t="n">
        <x:f>IF(AND(O$7&gt;=$C46,O$7&lt;=$D46),1,0)</x:f>
        <x:v>1</x:v>
      </x:c>
      <x:c r="P46" s="17" t="n">
        <x:f>IF(AND(P$7&gt;=$C46,P$7&lt;=$D46),1,0)</x:f>
        <x:v>1</x:v>
      </x:c>
      <x:c r="Q46" s="17" t="n">
        <x:f>IF(AND(Q$7&gt;=$C46,Q$7&lt;=$D46),1,0)</x:f>
        <x:v>1</x:v>
      </x:c>
      <x:c r="R46" s="36" t="n">
        <x:f>IF(AND(R$7&gt;=$C46,R$7&lt;=$D46),1,0)</x:f>
        <x:v>1</x:v>
      </x:c>
      <x:c r="S46" s="17" t="n">
        <x:f>IF(AND(S$7&gt;=$C46,S$7&lt;=$D46),1,0)</x:f>
        <x:v>1</x:v>
      </x:c>
      <x:c r="T46" s="17" t="n">
        <x:f>IF(AND(T$7&gt;=$C46,T$7&lt;=$D46),1,0)</x:f>
        <x:v>1</x:v>
      </x:c>
      <x:c r="U46" s="17" t="n">
        <x:f>IF(AND(U$7&gt;=$C46,U$7&lt;=$D46),1,0)</x:f>
        <x:v>1</x:v>
      </x:c>
      <x:c r="V46" s="17" t="n">
        <x:f>IF(AND(V$7&gt;=$C46,V$7&lt;=$D46),1,0)</x:f>
        <x:v>1</x:v>
      </x:c>
      <x:c r="W46" s="17" t="n">
        <x:f>IF(AND(W$7&gt;=$C46,W$7&lt;=$D46),1,0)</x:f>
        <x:v>1</x:v>
      </x:c>
      <x:c r="X46" s="17" t="n">
        <x:f>IF(AND(X$7&gt;=$C46,X$7&lt;=$D46),1,0)</x:f>
        <x:v>1</x:v>
      </x:c>
      <x:c r="Y46" s="17" t="n">
        <x:f>IF(AND(Y$7&gt;=$C46,Y$7&lt;=$D46),1,0)</x:f>
        <x:v>1</x:v>
      </x:c>
      <x:c r="Z46" s="17" t="n">
        <x:f>IF(AND(Z$7&gt;=$C46,Z$7&lt;=$D46),1,0)</x:f>
        <x:v>1</x:v>
      </x:c>
      <x:c r="AA46" s="17" t="n">
        <x:f>IF(AND(AA$7&gt;=$C46,AA$7&lt;=$D46),1,0)</x:f>
        <x:v>1</x:v>
      </x:c>
      <x:c r="AB46" s="17" t="n">
        <x:f>IF(AND(AB$7&gt;=$C46,AB$7&lt;=$D46),1,0)</x:f>
        <x:v>1</x:v>
      </x:c>
      <x:c r="AC46" s="17" t="n">
        <x:f>IF(AND(AC$7&gt;=$C46,AC$7&lt;=$D46),1,0)</x:f>
        <x:v>1</x:v>
      </x:c>
    </x:row>
    <x:row r="47" ht="23" customHeight="1">
      <x:c r="A47" s="1" t="str">
        <x:v>34</x:v>
      </x:c>
      <x:c r="B47" s="1" t="str">
        <x:v>Quarterly LGU billing and financial review</x:v>
      </x:c>
      <x:c r="C47" s="13" t="n">
        <x:v>3</x:v>
      </x:c>
      <x:c r="D47" s="13" t="n">
        <x:v>24</x:v>
      </x:c>
      <x:c r="E47" s="14" t="n">
        <x:f>D47-C47+1</x:f>
        <x:v>22</x:v>
      </x:c>
      <x:c r="F47" s="17" t="n">
        <x:f>IF(AND(F$7&gt;=$C47,F$7&lt;=$D47),1,0)</x:f>
        <x:v>0</x:v>
      </x:c>
      <x:c r="G47" s="17" t="n">
        <x:f>IF(AND(G$7&gt;=$C47,G$7&lt;=$D47),1,0)</x:f>
        <x:v>0</x:v>
      </x:c>
      <x:c r="H47" s="17" t="n">
        <x:f>IF(AND(H$7&gt;=$C47,H$7&lt;=$D47),1,0)</x:f>
        <x:v>1</x:v>
      </x:c>
      <x:c r="I47" s="17" t="n">
        <x:f>IF(AND(I$7&gt;=$C47,I$7&lt;=$D47),1,0)</x:f>
        <x:v>1</x:v>
      </x:c>
      <x:c r="J47" s="17" t="n">
        <x:f>IF(AND(J$7&gt;=$C47,J$7&lt;=$D47),1,0)</x:f>
        <x:v>1</x:v>
      </x:c>
      <x:c r="K47" s="17" t="n">
        <x:f>IF(AND(K$7&gt;=$C47,K$7&lt;=$D47),1,0)</x:f>
        <x:v>1</x:v>
      </x:c>
      <x:c r="L47" s="17" t="n">
        <x:f>IF(AND(L$7&gt;=$C47,L$7&lt;=$D47),1,0)</x:f>
        <x:v>1</x:v>
      </x:c>
      <x:c r="M47" s="17" t="n">
        <x:f>IF(AND(M$7&gt;=$C47,M$7&lt;=$D47),1,0)</x:f>
        <x:v>1</x:v>
      </x:c>
      <x:c r="N47" s="17" t="n">
        <x:f>IF(AND(N$7&gt;=$C47,N$7&lt;=$D47),1,0)</x:f>
        <x:v>1</x:v>
      </x:c>
      <x:c r="O47" s="17" t="n">
        <x:f>IF(AND(O$7&gt;=$C47,O$7&lt;=$D47),1,0)</x:f>
        <x:v>1</x:v>
      </x:c>
      <x:c r="P47" s="17" t="n">
        <x:f>IF(AND(P$7&gt;=$C47,P$7&lt;=$D47),1,0)</x:f>
        <x:v>1</x:v>
      </x:c>
      <x:c r="Q47" s="17" t="n">
        <x:f>IF(AND(Q$7&gt;=$C47,Q$7&lt;=$D47),1,0)</x:f>
        <x:v>1</x:v>
      </x:c>
      <x:c r="R47" s="36" t="n">
        <x:f>IF(AND(R$7&gt;=$C47,R$7&lt;=$D47),1,0)</x:f>
        <x:v>1</x:v>
      </x:c>
      <x:c r="S47" s="17" t="n">
        <x:f>IF(AND(S$7&gt;=$C47,S$7&lt;=$D47),1,0)</x:f>
        <x:v>1</x:v>
      </x:c>
      <x:c r="T47" s="17" t="n">
        <x:f>IF(AND(T$7&gt;=$C47,T$7&lt;=$D47),1,0)</x:f>
        <x:v>1</x:v>
      </x:c>
      <x:c r="U47" s="17" t="n">
        <x:f>IF(AND(U$7&gt;=$C47,U$7&lt;=$D47),1,0)</x:f>
        <x:v>1</x:v>
      </x:c>
      <x:c r="V47" s="17" t="n">
        <x:f>IF(AND(V$7&gt;=$C47,V$7&lt;=$D47),1,0)</x:f>
        <x:v>1</x:v>
      </x:c>
      <x:c r="W47" s="17" t="n">
        <x:f>IF(AND(W$7&gt;=$C47,W$7&lt;=$D47),1,0)</x:f>
        <x:v>1</x:v>
      </x:c>
      <x:c r="X47" s="17" t="n">
        <x:f>IF(AND(X$7&gt;=$C47,X$7&lt;=$D47),1,0)</x:f>
        <x:v>1</x:v>
      </x:c>
      <x:c r="Y47" s="17" t="n">
        <x:f>IF(AND(Y$7&gt;=$C47,Y$7&lt;=$D47),1,0)</x:f>
        <x:v>1</x:v>
      </x:c>
      <x:c r="Z47" s="17" t="n">
        <x:f>IF(AND(Z$7&gt;=$C47,Z$7&lt;=$D47),1,0)</x:f>
        <x:v>1</x:v>
      </x:c>
      <x:c r="AA47" s="17" t="n">
        <x:f>IF(AND(AA$7&gt;=$C47,AA$7&lt;=$D47),1,0)</x:f>
        <x:v>1</x:v>
      </x:c>
      <x:c r="AB47" s="17" t="n">
        <x:f>IF(AND(AB$7&gt;=$C47,AB$7&lt;=$D47),1,0)</x:f>
        <x:v>1</x:v>
      </x:c>
      <x:c r="AC47" s="17" t="n">
        <x:f>IF(AND(AC$7&gt;=$C47,AC$7&lt;=$D47),1,0)</x:f>
        <x:v>1</x:v>
      </x:c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</x:row>
  </x:sheetData>
  <x:mergeCells>
    <x:mergeCell ref="F6:Q6"/>
    <x:mergeCell ref="R6:AC6"/>
  </x:mergeCells>
  <x:conditionalFormatting sqref="F9:AC9">
    <x:cfRule type="cellIs" dxfId="0" priority="1" operator="equal">
      <x:formula>1</x:formula>
    </x:cfRule>
  </x:conditionalFormatting>
  <x:conditionalFormatting sqref="F10:AC10">
    <x:cfRule type="cellIs" dxfId="1" priority="2" operator="equal">
      <x:formula>1</x:formula>
    </x:cfRule>
  </x:conditionalFormatting>
  <x:conditionalFormatting sqref="F11:AC11">
    <x:cfRule type="cellIs" dxfId="2" priority="3" operator="equal">
      <x:formula>1</x:formula>
    </x:cfRule>
  </x:conditionalFormatting>
  <x:conditionalFormatting sqref="F12:AC12">
    <x:cfRule type="cellIs" dxfId="3" priority="4" operator="equal">
      <x:formula>1</x:formula>
    </x:cfRule>
  </x:conditionalFormatting>
  <x:conditionalFormatting sqref="F13:AC13">
    <x:cfRule type="cellIs" dxfId="4" priority="5" operator="equal">
      <x:formula>1</x:formula>
    </x:cfRule>
  </x:conditionalFormatting>
  <x:conditionalFormatting sqref="F14:AC14">
    <x:cfRule type="cellIs" dxfId="5" priority="6" operator="equal">
      <x:formula>1</x:formula>
    </x:cfRule>
  </x:conditionalFormatting>
  <x:conditionalFormatting sqref="F15:AC15">
    <x:cfRule type="cellIs" dxfId="6" priority="7" operator="equal">
      <x:formula>1</x:formula>
    </x:cfRule>
  </x:conditionalFormatting>
  <x:conditionalFormatting sqref="F18:AC18">
    <x:cfRule type="cellIs" dxfId="7" priority="8" operator="equal">
      <x:formula>1</x:formula>
    </x:cfRule>
  </x:conditionalFormatting>
  <x:conditionalFormatting sqref="F19:AC19">
    <x:cfRule type="cellIs" dxfId="8" priority="9" operator="equal">
      <x:formula>1</x:formula>
    </x:cfRule>
  </x:conditionalFormatting>
  <x:conditionalFormatting sqref="F20:AC20">
    <x:cfRule type="cellIs" dxfId="9" priority="10" operator="equal">
      <x:formula>1</x:formula>
    </x:cfRule>
  </x:conditionalFormatting>
  <x:conditionalFormatting sqref="F21:AC21">
    <x:cfRule type="cellIs" dxfId="10" priority="11" operator="equal">
      <x:formula>1</x:formula>
    </x:cfRule>
  </x:conditionalFormatting>
  <x:conditionalFormatting sqref="F24:AC24">
    <x:cfRule type="cellIs" dxfId="11" priority="12" operator="equal">
      <x:formula>1</x:formula>
    </x:cfRule>
  </x:conditionalFormatting>
  <x:conditionalFormatting sqref="F25:AC25">
    <x:cfRule type="cellIs" dxfId="12" priority="13" operator="equal">
      <x:formula>1</x:formula>
    </x:cfRule>
  </x:conditionalFormatting>
  <x:conditionalFormatting sqref="F26:AC26">
    <x:cfRule type="cellIs" dxfId="13" priority="14" operator="equal">
      <x:formula>1</x:formula>
    </x:cfRule>
  </x:conditionalFormatting>
  <x:conditionalFormatting sqref="F27:AC27">
    <x:cfRule type="cellIs" dxfId="14" priority="15" operator="equal">
      <x:formula>1</x:formula>
    </x:cfRule>
  </x:conditionalFormatting>
  <x:conditionalFormatting sqref="F28:AC28">
    <x:cfRule type="cellIs" dxfId="15" priority="16" operator="equal">
      <x:formula>1</x:formula>
    </x:cfRule>
  </x:conditionalFormatting>
  <x:conditionalFormatting sqref="F31:AC31">
    <x:cfRule type="cellIs" dxfId="16" priority="17" operator="equal">
      <x:formula>1</x:formula>
    </x:cfRule>
  </x:conditionalFormatting>
  <x:conditionalFormatting sqref="F32:AC32">
    <x:cfRule type="cellIs" dxfId="17" priority="18" operator="equal">
      <x:formula>1</x:formula>
    </x:cfRule>
  </x:conditionalFormatting>
  <x:conditionalFormatting sqref="F33:AC33">
    <x:cfRule type="cellIs" dxfId="18" priority="19" operator="equal">
      <x:formula>1</x:formula>
    </x:cfRule>
  </x:conditionalFormatting>
  <x:conditionalFormatting sqref="F34:AC34">
    <x:cfRule type="cellIs" dxfId="19" priority="20" operator="equal">
      <x:formula>1</x:formula>
    </x:cfRule>
  </x:conditionalFormatting>
  <x:conditionalFormatting sqref="F35:AC35">
    <x:cfRule type="cellIs" dxfId="20" priority="21" operator="equal">
      <x:formula>1</x:formula>
    </x:cfRule>
  </x:conditionalFormatting>
  <x:conditionalFormatting sqref="F36:AC36">
    <x:cfRule type="cellIs" dxfId="21" priority="22" operator="equal">
      <x:formula>1</x:formula>
    </x:cfRule>
  </x:conditionalFormatting>
  <x:conditionalFormatting sqref="F39:AC39">
    <x:cfRule type="cellIs" dxfId="22" priority="23" operator="equal">
      <x:formula>1</x:formula>
    </x:cfRule>
  </x:conditionalFormatting>
  <x:conditionalFormatting sqref="F40:AC40">
    <x:cfRule type="cellIs" dxfId="23" priority="24" operator="equal">
      <x:formula>1</x:formula>
    </x:cfRule>
  </x:conditionalFormatting>
  <x:conditionalFormatting sqref="F41:AC41">
    <x:cfRule type="cellIs" dxfId="24" priority="25" operator="equal">
      <x:formula>1</x:formula>
    </x:cfRule>
  </x:conditionalFormatting>
  <x:conditionalFormatting sqref="F42:AC42">
    <x:cfRule type="cellIs" dxfId="25" priority="26" operator="equal">
      <x:formula>1</x:formula>
    </x:cfRule>
  </x:conditionalFormatting>
  <x:conditionalFormatting sqref="F45:AC45">
    <x:cfRule type="cellIs" dxfId="26" priority="27" operator="equal">
      <x:formula>1</x:formula>
    </x:cfRule>
  </x:conditionalFormatting>
  <x:conditionalFormatting sqref="F46:AC46">
    <x:cfRule type="cellIs" dxfId="27" priority="28" operator="equal">
      <x:formula>1</x:formula>
    </x:cfRule>
  </x:conditionalFormatting>
  <x:conditionalFormatting sqref="F47:AC47">
    <x:cfRule type="cellIs" dxfId="28" priority="29" operator="equal">
      <x:formula>1</x:formula>
    </x:cfRule>
  </x:conditionalFormatting>
  <x:dataValidations count="1">
    <x:dataValidation type="whole" operator="between" sqref="C9:D47">
      <x:formula1>1</x:formula1>
      <x:formula2>24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9" topLeftCell="A20" activePane="bottomLeft" state="frozen"/>
    </x:sheetView>
  </x:sheetViews>
  <x:sheetFormatPr defaultRowHeight="15"/>
  <x:cols>
    <x:col min="1" max="1" width="23" hidden="0" customWidth="1"/>
    <x:col min="2" max="2" width="62" hidden="0" customWidth="1"/>
    <x:col min="3" max="3" width="24" hidden="0" customWidth="1"/>
    <x:col min="4" max="4" width="70" hidden="0" customWidth="1"/>
    <x:col min="5" max="5" width="65" hidden="0" customWidth="1"/>
    <x:col min="6" max="6" width="54" hidden="0" customWidth="1"/>
    <x:col min="7" max="7" width="1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</x:row>
    <x:row r="2">
      <x:c r="A2" s="2" t="str">
        <x:v>Schedule basis and activity details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</x:row>
    <x:row r="4" ht="38" customHeight="1">
      <x:c r="A4" s="7" t="str">
        <x:v>Schedule status</x:v>
      </x:c>
      <x:c r="B4" s="8" t="str">
        <x:v>Proposed planning baseline, prepared 17 October 2026. Dates and owners are not yet approved.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</x:row>
    <x:row r="5" ht="38" customHeight="1">
      <x:c r="A5" s="7" t="str">
        <x:v>Time basis</x:v>
      </x:c>
      <x:c r="B5" s="8" t="str">
        <x:v>Year 1 = M1–M12; Year 2 = M13–M24. All activity windows include both start and end months.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</x:row>
    <x:row r="6" ht="38" customHeight="1">
      <x:c r="A6" s="7" t="str">
        <x:v>Source timing</x:v>
      </x:c>
      <x:c r="B6" s="8" t="str">
        <x:v>Phase 0 weeks 1–6 mapped to M1–M2. Phase 1 M2–M4; Phase 2 M5–M9; Phase 3 M10–M18 follow the vault.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</x:row>
    <x:row r="7" ht="38" customHeight="1">
      <x:c r="A7" s="7" t="str">
        <x:v>Assumed timing</x:v>
      </x:c>
      <x:c r="B7" s="8" t="str">
        <x:v>Task-level dates inside phases, procurement M1–M3, technical enhancements and all M19–M24 activities are proposed.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</x:row>
    <x:row r="8" ht="38" customHeight="1">
      <x:c r="A8" s="7" t="str">
        <x:v>Existing implementation</x:v>
      </x:c>
      <x:c r="B8" s="8" t="str">
        <x:v>App, API, staff console and care-loop prototype already exist as of 16 October. M1–M2 covers completion and validation for real use.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</x:row>
    <x:row r="9" ht="38" customHeight="1">
      <x:c r="A9" s="7" t="str">
        <x:v>Source priority</x:v>
      </x:c>
      <x:c r="B9" s="8" t="str">
        <x:v>Current .brain and implementation supersede older handoff snapshots. Research informs scope, not confirmed delivery dates.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</x:row>
    <x:row r="10" ht="38" customHeight="1">
      <x:c r="A10" s="7" t="str">
        <x:v>Budget interpretation</x:v>
      </x:c>
      <x:c r="B10" s="8" t="str">
        <x:v>Annual amounts support workstreams. No monthly cost allocation or grant disbursement schedule is inferred. Blank Year 2 costs remain blank.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</x:row>
    <x:row r="11" ht="38" customHeight="1">
      <x:c r="A11" s="7" t="str">
        <x:v>Survey scope</x:v>
      </x:c>
      <x:c r="B11" s="8" t="str">
        <x:v>Budget funds 16 enumerators/digitizers across four LGUs once in Year 1. Service rollout starts with one LGU; survey geography requires confirmation.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</x:row>
    <x:row r="12" ht="38" customHeight="1">
      <x:c r="A12" s="7" t="str">
        <x:v>Equipment discrepancy</x:v>
      </x:c>
      <x:c r="B12" s="8" t="str">
        <x:v>Budget row 26 says Twenty (25). PHP 9,000,000 / PHP 360,000 implies 25 kits; confirm quantity before procurement.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</x:row>
    <x:row r="13" ht="38" customHeight="1">
      <x:c r="A13" s="7" t="str">
        <x:v>Funding gaps</x:v>
      </x:c>
      <x:c r="B13" s="8" t="str">
        <x:v>No explicit new enumerator line in Year 2 or SMS gateway / Starlink recurring service line. Confirm provision before commitment.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</x:row>
    <x:row r="14" ht="38" customHeight="1">
      <x:c r="A14" s="7" t="str">
        <x:v>Budget labels</x:v>
      </x:c>
      <x:c r="B14" s="8" t="str">
        <x:v>Source row 45 says Sub-total for P S but contains CapEx + MOE. The source label is preserved.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</x:row>
    <x:row r="15" ht="38" customHeight="1">
      <x:c r="A15" s="7" t="str">
        <x:v>Dependencies</x:v>
      </x:c>
      <x:c r="B15" s="8" t="str">
        <x:v>IDs describe prerequisites or coordination links. Same-month work needs within-month sequencing. Gates require evidence before expansion.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</x:row>
    <x:row r="16" ht="38" customHeight="1">
      <x:c r="A16" s="7" t="str">
        <x:v>Editing</x:v>
      </x:c>
      <x:c r="B16" s="8" t="str">
        <x:v>Edit amber Start/End month cells on the Gantt (1–24). Duration, bars and milestone position update. Dependencies do not auto-reschedule.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</x:row>
    <x:row r="17" ht="38" customHeight="1">
      <x:c r="A17" s="7" t="str">
        <x:v>Review cadence</x:v>
      </x:c>
      <x:c r="B17" s="8" t="str">
        <x:v>Weekly pilot reviews and quarterly quality / finance reviews are continuous work windows, not separate monthly spending commitments.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</x:row>
    <x:row r="19">
      <x:c r="A19" s="44" t="str">
        <x:v>ID</x:v>
      </x:c>
      <x:c r="B19" s="44" t="str">
        <x:v>Activity</x:v>
      </x:c>
      <x:c r="C19" s="44" t="str">
        <x:v>Dependencies</x:v>
      </x:c>
      <x:c r="D19" s="44" t="str">
        <x:v>Expected output / gate</x:v>
      </x:c>
      <x:c r="E19" s="44" t="str">
        <x:v>Source / timing basis</x:v>
      </x:c>
      <x:c r="F19" s="44" t="str">
        <x:v>Budget alignment</x:v>
      </x:c>
      <x:c r="G19" s="44" t="str">
        <x:v>Gantt row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</x:row>
    <x:row r="20" ht="48" customHeight="1">
      <x:c r="A20" s="8" t="str">
        <x:v>01</x:v>
      </x:c>
      <x:c r="B20" s="8" t="str">
        <x:v>Mobilize project team and governance</x:v>
      </x:c>
      <x:c r="C20" s="8" t="str">
        <x:v>—</x:v>
      </x:c>
      <x:c r="D20" s="8" t="str">
        <x:v>Project leader, laborers, staff and monitoring roles assigned</x:v>
      </x:c>
      <x:c r="E20" s="8" t="str">
        <x:v>Budget rows 5–16; Implementation Plan §3</x:v>
      </x:c>
      <x:c r="F20" s="8" t="str">
        <x:v>Personnel, both years</x:v>
      </x:c>
      <x:c r="G20" s="8" t="n">
        <x:v>9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</x:row>
    <x:row r="21" ht="48" customHeight="1">
      <x:c r="A21" s="8" t="str">
        <x:v>02</x:v>
      </x:c>
      <x:c r="B21" s="8" t="str">
        <x:v>LGU / barangay MOUs and cost sharing</x:v>
      </x:c>
      <x:c r="C21" s="8" t="str">
        <x:v>01</x:v>
      </x:c>
      <x:c r="D21" s="8" t="str">
        <x:v>One municipality and 2–3 barangays; signed 50/50 funding mechanism</x:v>
      </x:c>
      <x:c r="E21" s="8" t="str">
        <x:v>Implementation Plan §3 Phase 0; ADR-001</x:v>
      </x:c>
      <x:c r="F21" s="8" t="str">
        <x:v>Project staff and consulting</x:v>
      </x:c>
      <x:c r="G21" s="8" t="n">
        <x:v>10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</x:row>
    <x:row r="22" ht="48" customHeight="1">
      <x:c r="A22" s="8" t="str">
        <x:v>03</x:v>
      </x:c>
      <x:c r="B22" s="8" t="str">
        <x:v>Baseline survey and household digitization</x:v>
      </x:c>
      <x:c r="C22" s="8" t="str">
        <x:v>01,02 (site access)</x:v>
      </x:c>
      <x:c r="D22" s="8" t="str">
        <x:v>Baseline access, cost and care gaps; four-LGU survey scope to confirm</x:v>
      </x:c>
      <x:c r="E22" s="8" t="str">
        <x:v>Implementation Plan §3 Phase 0; Budget row 13</x:v>
      </x:c>
      <x:c r="F22" s="8" t="str">
        <x:v>Enumerators / digitizers, Year 1 only</x:v>
      </x:c>
      <x:c r="G22" s="8" t="n">
        <x:v>11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</x:row>
    <x:row r="23" ht="48" customHeight="1">
      <x:c r="A23" s="8" t="str">
        <x:v>04</x:v>
      </x:c>
      <x:c r="B23" s="8" t="str">
        <x:v>Privacy, clinical protocols and referral partners</x:v>
      </x:c>
      <x:c r="C23" s="8" t="str">
        <x:v>01</x:v>
      </x:c>
      <x:c r="D23" s="8" t="str">
        <x:v>Consent review, escalation protocol, RHU/CVMC coordination and hotline</x:v>
      </x:c>
      <x:c r="E23" s="8" t="str">
        <x:v>TODO: non-code dependencies; Implementation Plan §3</x:v>
      </x:c>
      <x:c r="F23" s="8" t="str">
        <x:v>Consulting and staff</x:v>
      </x:c>
      <x:c r="G23" s="8" t="n">
        <x:v>12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</x:row>
    <x:row r="24" ht="48" customHeight="1">
      <x:c r="A24" s="8" t="str">
        <x:v>05</x:v>
      </x:c>
      <x:c r="B24" s="8" t="str">
        <x:v>Procure equipment and connectivity</x:v>
      </x:c>
      <x:c r="C24" s="8" t="str">
        <x:v>01</x:v>
      </x:c>
      <x:c r="D24" s="8" t="str">
        <x:v>Computers, scanner/printers, telehealth kits and Starlink commissioned</x:v>
      </x:c>
      <x:c r="E24" s="8" t="str">
        <x:v>Budget rows 21–33</x:v>
      </x:c>
      <x:c r="F24" s="8" t="str">
        <x:v>CapEx, Year 1 only</x:v>
      </x:c>
      <x:c r="G24" s="8" t="n">
        <x:v>13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</x:row>
    <x:row r="25" ht="48" customHeight="1">
      <x:c r="A25" s="8" t="str">
        <x:v>06</x:v>
      </x:c>
      <x:c r="B25" s="8" t="str">
        <x:v>Complete pilot platform and verify real-use readiness</x:v>
      </x:c>
      <x:c r="C25" s="8" t="str">
        <x:v>01,04</x:v>
      </x:c>
      <x:c r="D25" s="8" t="str">
        <x:v>Validate existing care loop; separate demo data, secure storage and owned AI key</x:v>
      </x:c>
      <x:c r="E25" s="8" t="str">
        <x:v>TODO P1–P4; ARCHITECTURE §§3–6; actual frontend/backend</x:v>
      </x:c>
      <x:c r="F25" s="8" t="str">
        <x:v>Laborers, AI, hosting and mobile data</x:v>
      </x:c>
      <x:c r="G25" s="8" t="n">
        <x:v>14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</x:row>
    <x:row r="26" ht="48" customHeight="1">
      <x:c r="A26" s="8" t="str">
        <x:v>07</x:v>
      </x:c>
      <x:c r="B26" s="8" t="str">
        <x:v>Recruit, screen and train first caregiver cohort</x:v>
      </x:c>
      <x:c r="C26" s="8" t="str">
        <x:v>01,04</x:v>
      </x:c>
      <x:c r="D26" s="8" t="str">
        <x:v>15–20 screened caregivers, 40-hour training and skill badges</x:v>
      </x:c>
      <x:c r="E26" s="8" t="str">
        <x:v>Implementation Plan Phase 0; Service Catalog §4</x:v>
      </x:c>
      <x:c r="F26" s="8" t="str">
        <x:v>Training, transport and food</x:v>
      </x:c>
      <x:c r="G26" s="8" t="n">
        <x:v>15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</x:row>
    <x:row r="27" ht="48" customHeight="1">
      <x:c r="A27" s="8" t="str">
        <x:v>08</x:v>
      </x:c>
      <x:c r="B27" s="8" t="str">
        <x:v>GATE: pilot readiness</x:v>
      </x:c>
      <x:c r="C27" s="8" t="str">
        <x:v>02,03,04,06,07</x:v>
      </x:c>
      <x:c r="D27" s="8" t="str">
        <x:v>30–50 households; 15–20 caregivers; signed cost sharing and ready care loop</x:v>
      </x:c>
      <x:c r="E27" s="8" t="str">
        <x:v>Implementation Plan Phase 0 exit</x:v>
      </x:c>
      <x:c r="F27" s="8" t="str">
        <x:v>Milestone</x:v>
      </x:c>
      <x:c r="G27" s="8" t="n">
        <x:v>16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</x:row>
    <x:row r="28" ht="48" customHeight="1">
      <x:c r="A28" s="8" t="str">
        <x:v>09</x:v>
      </x:c>
      <x:c r="B28" s="8" t="str">
        <x:v>Enroll households and assist first bookings</x:v>
      </x:c>
      <x:c r="C28" s="8" t="str">
        <x:v>08</x:v>
      </x:c>
      <x:c r="D28" s="8" t="str">
        <x:v>BHW-led multilingual onboarding and published tier / service prices</x:v>
      </x:c>
      <x:c r="E28" s="8" t="str">
        <x:v>Implementation Plan Phase 1 and §4</x:v>
      </x:c>
      <x:c r="F28" s="8" t="str">
        <x:v>Staff, transport and food</x:v>
      </x:c>
      <x:c r="G28" s="8" t="n">
        <x:v>18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</x:row>
    <x:row r="29" ht="48" customHeight="1">
      <x:c r="A29" s="8" t="str">
        <x:v>10</x:v>
      </x:c>
      <x:c r="B29" s="8" t="str">
        <x:v>Deliver home care and post-discharge follow-up</x:v>
      </x:c>
      <x:c r="C29" s="8" t="str">
        <x:v>08</x:v>
      </x:c>
      <x:c r="D29" s="8" t="str">
        <x:v>Personal care, basic nursing support and respite; one formal follow-up</x:v>
      </x:c>
      <x:c r="E29" s="8" t="str">
        <x:v>Implementation Plan Phase 1</x:v>
      </x:c>
      <x:c r="F29" s="8" t="str">
        <x:v>Staff and operating support</x:v>
      </x:c>
      <x:c r="G29" s="8" t="n">
        <x:v>19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</x:row>
    <x:row r="30" ht="48" customHeight="1">
      <x:c r="A30" s="8" t="str">
        <x:v>11</x:v>
      </x:c>
      <x:c r="B30" s="8" t="str">
        <x:v>Activate telehealth equipment in pilot sites</x:v>
      </x:c>
      <x:c r="C30" s="8" t="str">
        <x:v>04,05,08</x:v>
      </x:c>
      <x:c r="D30" s="8" t="str">
        <x:v>Test clinician connectivity, operator training and escalation workflow</x:v>
      </x:c>
      <x:c r="E30" s="8" t="str">
        <x:v>Budget telehealth / Starlink; Mobile App Specification</x:v>
      </x:c>
      <x:c r="F30" s="8" t="str">
        <x:v>Year 1 equipment and training</x:v>
      </x:c>
      <x:c r="G30" s="8" t="n">
        <x:v>20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</x:row>
    <x:row r="31" ht="48" customHeight="1">
      <x:c r="A31" s="8" t="str">
        <x:v>12</x:v>
      </x:c>
      <x:c r="B31" s="8" t="str">
        <x:v>Review SLA, repeat use and caregiver continuity</x:v>
      </x:c>
      <x:c r="C31" s="8" t="str">
        <x:v>08</x:v>
      </x:c>
      <x:c r="D31" s="8" t="str">
        <x:v>Weekly operations review with family feedback and corrective actions</x:v>
      </x:c>
      <x:c r="E31" s="8" t="str">
        <x:v>Implementation Plan Phase 1</x:v>
      </x:c>
      <x:c r="F31" s="8" t="str">
        <x:v>Monitoring staff</x:v>
      </x:c>
      <x:c r="G31" s="8" t="n">
        <x:v>21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</x:row>
    <x:row r="32" ht="48" customHeight="1">
      <x:c r="A32" s="8" t="str">
        <x:v>13</x:v>
      </x:c>
      <x:c r="B32" s="8" t="str">
        <x:v>GATE: approve municipal expansion</x:v>
      </x:c>
      <x:c r="C32" s="8" t="str">
        <x:v>09,10,11,12</x:v>
      </x:c>
      <x:c r="D32" s="8" t="str">
        <x:v>&gt;60% SLA; &gt;40% repeat use in 60 days; &gt;70% caregiver retention</x:v>
      </x:c>
      <x:c r="E32" s="8" t="str">
        <x:v>Implementation Plan Phase 1 exit</x:v>
      </x:c>
      <x:c r="F32" s="8" t="str">
        <x:v>Milestone</x:v>
      </x:c>
      <x:c r="G32" s="8" t="n">
        <x:v>22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</x:row>
    <x:row r="33" ht="48" customHeight="1">
      <x:c r="A33" s="8" t="str">
        <x:v>14</x:v>
      </x:c>
      <x:c r="B33" s="8" t="str">
        <x:v>Expand to 8–12 barangays in pilot municipality</x:v>
      </x:c>
      <x:c r="C33" s="8" t="str">
        <x:v>13</x:v>
      </x:c>
      <x:c r="D33" s="8" t="str">
        <x:v>Denser caregiver coverage and BHW enrollment network</x:v>
      </x:c>
      <x:c r="E33" s="8" t="str">
        <x:v>Implementation Plan Phase 2</x:v>
      </x:c>
      <x:c r="F33" s="8" t="str">
        <x:v>Staff, training, transport and food</x:v>
      </x:c>
      <x:c r="G33" s="8" t="n">
        <x:v>24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</x:row>
    <x:row r="34" ht="48" customHeight="1">
      <x:c r="A34" s="8" t="str">
        <x:v>15</x:v>
      </x:c>
      <x:c r="B34" s="8" t="str">
        <x:v>Introduce pooled NEMT and referral coordination</x:v>
      </x:c>
      <x:c r="C34" s="8" t="str">
        <x:v>13,04</x:v>
      </x:c>
      <x:c r="D34" s="8" t="str">
        <x:v>Shared transport routes and BHW / tele-nurse routing process</x:v>
      </x:c>
      <x:c r="E34" s="8" t="str">
        <x:v>Implementation Plan Phase 2; Centene research</x:v>
      </x:c>
      <x:c r="F34" s="8" t="str">
        <x:v>Transport and staff</x:v>
      </x:c>
      <x:c r="G34" s="8" t="n">
        <x:v>25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</x:row>
    <x:row r="35" ht="48" customHeight="1">
      <x:c r="A35" s="8" t="str">
        <x:v>16</x:v>
      </x:c>
      <x:c r="B35" s="8" t="str">
        <x:v>Add respite packages, family updates and Rx routing</x:v>
      </x:c>
      <x:c r="C35" s="8" t="str">
        <x:v>13</x:v>
      </x:c>
      <x:c r="D35" s="8" t="str">
        <x:v>Long-distance family support and verified pharmacy / Yakap pathways</x:v>
      </x:c>
      <x:c r="E35" s="8" t="str">
        <x:v>Implementation Plan Phase 2; Homage and Auxilio research</x:v>
      </x:c>
      <x:c r="F35" s="8" t="str">
        <x:v>Staff, AI and hosting</x:v>
      </x:c>
      <x:c r="G35" s="8" t="n">
        <x:v>26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</x:row>
    <x:row r="36" ht="48" customHeight="1">
      <x:c r="A36" s="8" t="str">
        <x:v>17</x:v>
      </x:c>
      <x:c r="B36" s="8" t="str">
        <x:v>Complete tier registry and LGU reconciliation</x:v>
      </x:c>
      <x:c r="C36" s="8" t="str">
        <x:v>02,06</x:v>
      </x:c>
      <x:c r="D36" s="8" t="str">
        <x:v>Server-side memberships; subsidy report and quarterly billing evidence</x:v>
      </x:c>
      <x:c r="E36" s="8" t="str">
        <x:v>TODO P4; Reporting Specifications Table 4</x:v>
      </x:c>
      <x:c r="F36" s="8" t="str">
        <x:v>Laborers and staff</x:v>
      </x:c>
      <x:c r="G36" s="8" t="n">
        <x:v>27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</x:row>
    <x:row r="37" ht="48" customHeight="1">
      <x:c r="A37" s="8" t="str">
        <x:v>18</x:v>
      </x:c>
      <x:c r="B37" s="8" t="str">
        <x:v>Add SMS, local languages and assisted access</x:v>
      </x:c>
      <x:c r="C37" s="8" t="str">
        <x:v>13,06</x:v>
      </x:c>
      <x:c r="D37" s="8" t="str">
        <x:v>Test low-bandwidth fallbacks and Tagalog / Ilocano / Ybanag support</x:v>
      </x:c>
      <x:c r="E37" s="8" t="str">
        <x:v>TODO Later; Implementation Plan §§4,6</x:v>
      </x:c>
      <x:c r="F37" s="8" t="str">
        <x:v>Laborers and mobile data; SMS cost unitemized</x:v>
      </x:c>
      <x:c r="G37" s="8" t="n">
        <x:v>28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</x:row>
    <x:row r="38" ht="48" customHeight="1">
      <x:c r="A38" s="8" t="str">
        <x:v>19</x:v>
      </x:c>
      <x:c r="B38" s="8" t="str">
        <x:v>GATE: confirm municipal results</x:v>
      </x:c>
      <x:c r="C38" s="8" t="str">
        <x:v>14,15,16,17,18</x:v>
      </x:c>
      <x:c r="D38" s="8" t="str">
        <x:v>300–500 active members; lower transport cost; &gt;70% discharge follow-through</x:v>
      </x:c>
      <x:c r="E38" s="8" t="str">
        <x:v>Implementation Plan Phase 2 exit</x:v>
      </x:c>
      <x:c r="F38" s="8" t="str">
        <x:v>Milestone</x:v>
      </x:c>
      <x:c r="G38" s="8" t="n">
        <x:v>29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</x:row>
    <x:row r="39" ht="48" customHeight="1">
      <x:c r="A39" s="8" t="str">
        <x:v>20</x:v>
      </x:c>
      <x:c r="B39" s="8" t="str">
        <x:v>Stage expansion into additional municipalities</x:v>
      </x:c>
      <x:c r="C39" s="8" t="str">
        <x:v>19</x:v>
      </x:c>
      <x:c r="D39" s="8" t="str">
        <x:v>New LGU agreements and rollout waves as capacity and demand permit</x:v>
      </x:c>
      <x:c r="E39" s="8" t="str">
        <x:v>Implementation Plan Phase 3</x:v>
      </x:c>
      <x:c r="F39" s="8" t="str">
        <x:v>Staff and Year 2 field expenses</x:v>
      </x:c>
      <x:c r="G39" s="8" t="n">
        <x:v>31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</x:row>
    <x:row r="40" ht="48" customHeight="1">
      <x:c r="A40" s="8" t="str">
        <x:v>21</x:v>
      </x:c>
      <x:c r="B40" s="8" t="str">
        <x:v>Formalize CVMC / institutional care contracts</x:v>
      </x:c>
      <x:c r="C40" s="8" t="str">
        <x:v>19,04</x:v>
      </x:c>
      <x:c r="D40" s="8" t="str">
        <x:v>Badged hospital watchers and institutional revenue to support rural care</x:v>
      </x:c>
      <x:c r="E40" s="8" t="str">
        <x:v>Implementation Plan Phase 3; Service Catalog §2</x:v>
      </x:c>
      <x:c r="F40" s="8" t="str">
        <x:v>Staff and consulting</x:v>
      </x:c>
      <x:c r="G40" s="8" t="n">
        <x:v>32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</x:row>
    <x:row r="41" ht="48" customHeight="1">
      <x:c r="A41" s="8" t="str">
        <x:v>22</x:v>
      </x:c>
      <x:c r="B41" s="8" t="str">
        <x:v>Scale caregiver cohorts and train local trainers</x:v>
      </x:c>
      <x:c r="C41" s="8" t="str">
        <x:v>19,07</x:v>
      </x:c>
      <x:c r="D41" s="8" t="str">
        <x:v>Repeat screening, continuity incentives and trainer pipeline</x:v>
      </x:c>
      <x:c r="E41" s="8" t="str">
        <x:v>Implementation Plan §§3,6; Honor research</x:v>
      </x:c>
      <x:c r="F41" s="8" t="str">
        <x:v>Training, transport and food</x:v>
      </x:c>
      <x:c r="G41" s="8" t="n">
        <x:v>33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</x:row>
    <x:row r="42" ht="48" customHeight="1">
      <x:c r="A42" s="8" t="str">
        <x:v>23</x:v>
      </x:c>
      <x:c r="B42" s="8" t="str">
        <x:v>Add elder knowledge-transfer wellness sessions</x:v>
      </x:c>
      <x:c r="C42" s="8" t="str">
        <x:v>19</x:v>
      </x:c>
      <x:c r="D42" s="8" t="str">
        <x:v>Intergenerational sessions integrated into wellness visits</x:v>
      </x:c>
      <x:c r="E42" s="8" t="str">
        <x:v>Implementation Plan Phase 3</x:v>
      </x:c>
      <x:c r="F42" s="8" t="str">
        <x:v>Staff and field expenses</x:v>
      </x:c>
      <x:c r="G42" s="8" t="n">
        <x:v>34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</x:row>
    <x:row r="43" ht="48" customHeight="1">
      <x:c r="A43" s="8" t="str">
        <x:v>24</x:v>
      </x:c>
      <x:c r="B43" s="8" t="str">
        <x:v>Introduce supervised workflow automation</x:v>
      </x:c>
      <x:c r="C43" s="8" t="str">
        <x:v>19,06</x:v>
      </x:c>
      <x:c r="D43" s="8" t="str">
        <x:v>Async matching notifications, care summaries and reporting with oversight</x:v>
      </x:c>
      <x:c r="E43" s="8" t="str">
        <x:v>Agentic Architecture; ADR-006; TODO Later</x:v>
      </x:c>
      <x:c r="F43" s="8" t="str">
        <x:v>Laborers, AI and hosting</x:v>
      </x:c>
      <x:c r="G43" s="8" t="n">
        <x:v>35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</x:row>
    <x:row r="44" ht="48" customHeight="1">
      <x:c r="A44" s="8" t="str">
        <x:v>25</x:v>
      </x:c>
      <x:c r="B44" s="8" t="str">
        <x:v>Scale cloud hosting and performance monitoring</x:v>
      </x:c>
      <x:c r="C44" s="8" t="str">
        <x:v>20 (rollout demand)</x:v>
      </x:c>
      <x:c r="D44" s="8" t="str">
        <x:v>Stage 2 capacity, backup/recovery checks and service monitoring</x:v>
      </x:c>
      <x:c r="E44" s="8" t="str">
        <x:v>Budget row 39: Stage 2 Year 2; ARCHITECTURE</x:v>
      </x:c>
      <x:c r="F44" s="8" t="str">
        <x:v>Year 2 hosting: PHP 1,500,000</x:v>
      </x:c>
      <x:c r="G44" s="8" t="n">
        <x:v>36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</x:row>
    <x:row r="45" ht="48" customHeight="1">
      <x:c r="A45" s="8" t="str">
        <x:v>26</x:v>
      </x:c>
      <x:c r="B45" s="8" t="str">
        <x:v>GATE: review provincial expansion</x:v>
      </x:c>
      <x:c r="C45" s="8" t="str">
        <x:v>20,21,22,23,24</x:v>
      </x:c>
      <x:c r="D45" s="8" t="str">
        <x:v>Review coverage, SLA, caregiver retention and unit economics before growth</x:v>
      </x:c>
      <x:c r="E45" s="8" t="str">
        <x:v>Phase 3 ends M18; review gate proposed</x:v>
      </x:c>
      <x:c r="F45" s="8" t="str">
        <x:v>Milestone</x:v>
      </x:c>
      <x:c r="G45" s="8" t="n">
        <x:v>37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</x:row>
    <x:row r="46" ht="48" customHeight="1">
      <x:c r="A46" s="8" t="str">
        <x:v>27</x:v>
      </x:c>
      <x:c r="B46" s="8" t="str">
        <x:v>Optimize tier mix and rural cross-subsidy</x:v>
      </x:c>
      <x:c r="C46" s="8" t="str">
        <x:v>26</x:v>
      </x:c>
      <x:c r="D46" s="8" t="str">
        <x:v>Use actual continuity and margins to tune tier uptake and service mix</x:v>
      </x:c>
      <x:c r="E46" s="8" t="str">
        <x:v>Implementation Plan §§3,5; proposed M19–24</x:v>
      </x:c>
      <x:c r="F46" s="8" t="str">
        <x:v>Staff and consulting</x:v>
      </x:c>
      <x:c r="G46" s="8" t="n">
        <x:v>39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</x:row>
    <x:row r="47" ht="48" customHeight="1">
      <x:c r="A47" s="8" t="str">
        <x:v>28</x:v>
      </x:c>
      <x:c r="B47" s="8" t="str">
        <x:v>Renew LGU / institutional agreements</x:v>
      </x:c>
      <x:c r="C47" s="8" t="str">
        <x:v>26</x:v>
      </x:c>
      <x:c r="D47" s="8" t="str">
        <x:v>Evidence-backed renewals and household payment fallbacks</x:v>
      </x:c>
      <x:c r="E47" s="8" t="str">
        <x:v>Implementation Plan §§5,7; proposed M19–24</x:v>
      </x:c>
      <x:c r="F47" s="8" t="str">
        <x:v>Staff and consulting</x:v>
      </x:c>
      <x:c r="G47" s="8" t="n">
        <x:v>40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</x:row>
    <x:row r="48" ht="48" customHeight="1">
      <x:c r="A48" s="8" t="str">
        <x:v>29</x:v>
      </x:c>
      <x:c r="B48" s="8" t="str">
        <x:v>Evaluate endline outcomes and affordability</x:v>
      </x:c>
      <x:c r="C48" s="8" t="str">
        <x:v>26,03</x:v>
      </x:c>
      <x:c r="D48" s="8" t="str">
        <x:v>Compare access, follow-through, costs and attended episodes with baseline</x:v>
      </x:c>
      <x:c r="E48" s="8" t="str">
        <x:v>Implementation Plan §8; proposed M22–24</x:v>
      </x:c>
      <x:c r="F48" s="8" t="str">
        <x:v>Monitoring staff; new enumerator funding unitemized</x:v>
      </x:c>
      <x:c r="G48" s="8" t="n">
        <x:v>41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</x:row>
    <x:row r="49" ht="48" customHeight="1">
      <x:c r="A49" s="8" t="str">
        <x:v>30</x:v>
      </x:c>
      <x:c r="B49" s="8" t="str">
        <x:v>Prepare continuation plan and final reporting</x:v>
      </x:c>
      <x:c r="C49" s="8" t="str">
        <x:v>26,27,28,29 (results)</x:v>
      </x:c>
      <x:c r="D49" s="8" t="str">
        <x:v>Continuation operating plan, final financial report and research outputs</x:v>
      </x:c>
      <x:c r="E49" s="8" t="str">
        <x:v>Implementation Plan §§5,8; proposed M23–24</x:v>
      </x:c>
      <x:c r="F49" s="8" t="str">
        <x:v>Staff, consulting and SPSS</x:v>
      </x:c>
      <x:c r="G49" s="8" t="n">
        <x:v>42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</x:row>
    <x:row r="50" ht="48" customHeight="1">
      <x:c r="A50" s="8" t="str">
        <x:v>31</x:v>
      </x:c>
      <x:c r="B50" s="8" t="str">
        <x:v>GATE: approve continuation beyond Year 2</x:v>
      </x:c>
      <x:c r="C50" s="8" t="str">
        <x:v>27,28,29,30</x:v>
      </x:c>
      <x:c r="D50" s="8" t="str">
        <x:v>Review renewals and &gt;80% earned-revenue target; approve next period</x:v>
      </x:c>
      <x:c r="E50" s="8" t="str">
        <x:v>Implementation Plan §5 target; M24 gate proposed</x:v>
      </x:c>
      <x:c r="F50" s="8" t="str">
        <x:v>Milestone</x:v>
      </x:c>
      <x:c r="G50" s="8" t="n">
        <x:v>43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</x:row>
    <x:row r="51" ht="48" customHeight="1">
      <x:c r="A51" s="8" t="str">
        <x:v>32</x:v>
      </x:c>
      <x:c r="B51" s="8" t="str">
        <x:v>Personnel, supervision and operating support</x:v>
      </x:c>
      <x:c r="C51" s="8" t="str">
        <x:v>01</x:v>
      </x:c>
      <x:c r="D51" s="8" t="str">
        <x:v>Continuous staffing, AI subscriptions, mobile data and cloud operations</x:v>
      </x:c>
      <x:c r="E51" s="8" t="str">
        <x:v>Budget: recurring personnel and MOE in both years</x:v>
      </x:c>
      <x:c r="F51" s="8" t="str">
        <x:v>PHP 2,974,560 / 2,734,560 personnel</x:v>
      </x:c>
      <x:c r="G51" s="8" t="n">
        <x:v>45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</x:row>
    <x:row r="52" ht="48" customHeight="1">
      <x:c r="A52" s="8" t="str">
        <x:v>33</x:v>
      </x:c>
      <x:c r="B52" s="8" t="str">
        <x:v>Quality, safeguarding and caregiver re-screening</x:v>
      </x:c>
      <x:c r="C52" s="8" t="str">
        <x:v>08</x:v>
      </x:c>
      <x:c r="D52" s="8" t="str">
        <x:v>Routine case review, quarterly re-screening and clinical escalation</x:v>
      </x:c>
      <x:c r="E52" s="8" t="str">
        <x:v>Implementation Plan §6; Service Catalog</x:v>
      </x:c>
      <x:c r="F52" s="8" t="str">
        <x:v>Monitoring staff and consulting</x:v>
      </x:c>
      <x:c r="G52" s="8" t="n">
        <x:v>46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</x:row>
    <x:row r="53" ht="48" customHeight="1">
      <x:c r="A53" s="8" t="str">
        <x:v>34</x:v>
      </x:c>
      <x:c r="B53" s="8" t="str">
        <x:v>Quarterly LGU billing and financial review</x:v>
      </x:c>
      <x:c r="C53" s="8" t="str">
        <x:v>02,17 (full report from M6)</x:v>
      </x:c>
      <x:c r="D53" s="8" t="str">
        <x:v>Quarter-end billing; seasonality, collections, payouts and margin review</x:v>
      </x:c>
      <x:c r="E53" s="8" t="str">
        <x:v>Implementation Plan §§3,5; Reporting Table 4</x:v>
      </x:c>
      <x:c r="F53" s="8" t="str">
        <x:v>Staff and monitoring</x:v>
      </x:c>
      <x:c r="G53" s="8" t="n">
        <x:v>47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</x:row>
    <x:row r="56">
      <x:c r="A56" s="1" t="str">
        <x:v>Source register</x:v>
      </x:c>
      <x:c r="B56" s="1" t="str">
        <x:v>File / location</x:v>
      </x:c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</x:row>
    <x:row r="57" ht="38" customHeight="1">
      <x:c r="A57" s="1" t="str">
        <x:v>Implementation Plan</x:v>
      </x:c>
      <x:c r="B57" s="8" t="str">
        <x:v>/Users/mclein/Documents/Developer/Personal_Projects/AdvanCare/AdvanCare/Implementation Plan.md</x:v>
      </x:c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</x:row>
    <x:row r="58" ht="38" customHeight="1">
      <x:c r="A58" s="1" t="str">
        <x:v>Operational context</x:v>
      </x:c>
      <x:c r="B58" s="8" t="str">
        <x:v>/Users/mclein/Documents/Developer/Personal_Projects/AdvanCare/.brain/PROJECT_CONTEXT.md</x:v>
      </x:c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</x:row>
    <x:row r="59" ht="38" customHeight="1">
      <x:c r="A59" s="1" t="str">
        <x:v>Current status and dependencies</x:v>
      </x:c>
      <x:c r="B59" s="8" t="str">
        <x:v>/Users/mclein/Documents/Developer/Personal_Projects/AdvanCare/.brain/TODO.md</x:v>
      </x:c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</x:row>
    <x:row r="60" ht="38" customHeight="1">
      <x:c r="A60" s="1" t="str">
        <x:v>Architecture and implementation</x:v>
      </x:c>
      <x:c r="B60" s="8" t="str">
        <x:v>/Users/mclein/Documents/Developer/Personal_Projects/AdvanCare/.brain/ARCHITECTURE.md</x:v>
      </x:c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</x:row>
    <x:row r="61" ht="38" customHeight="1">
      <x:c r="A61" s="1" t="str">
        <x:v>Approved decisions</x:v>
      </x:c>
      <x:c r="B61" s="8" t="str">
        <x:v>/Users/mclein/Documents/Developer/Personal_Projects/AdvanCare/.brain/DECISIONS.md</x:v>
      </x:c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</x:row>
    <x:row r="62" ht="38" customHeight="1">
      <x:c r="A62" s="1" t="str">
        <x:v>Service and training scope</x:v>
      </x:c>
      <x:c r="B62" s="8" t="str">
        <x:v>/Users/mclein/Documents/Developer/Personal_Projects/AdvanCare/AdvanCare/Product/Service Catalog &amp; Caregiver Operations.md</x:v>
      </x:c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</x:row>
    <x:row r="63" ht="38" customHeight="1">
      <x:c r="A63" s="1" t="str">
        <x:v>Reporting requirements</x:v>
      </x:c>
      <x:c r="B63" s="8" t="str">
        <x:v>/Users/mclein/Documents/Developer/Personal_Projects/AdvanCare/AdvanCare/Product/Reporting Engine &amp; Dashboard Specifications.md</x:v>
      </x:c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</x:row>
    <x:row r="64" ht="38" customHeight="1">
      <x:c r="A64" s="1" t="str">
        <x:v>Automation roadmap</x:v>
      </x:c>
      <x:c r="B64" s="8" t="str">
        <x:v>/Users/mclein/Documents/Developer/Personal_Projects/AdvanCare/AdvanCare/Architecture/Agentic AI &amp; n8n Workflow Architecture.md</x:v>
      </x:c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</x:row>
    <x:row r="65" ht="38" customHeight="1">
      <x:c r="A65" s="1" t="str">
        <x:v>Research synthesis</x:v>
      </x:c>
      <x:c r="B65" s="8" t="str">
        <x:v>/Users/mclein/Documents/Developer/Personal_Projects/AdvanCare/AdvanCare/Research/Comparative Benchmark Matrix.md</x:v>
      </x:c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</x:row>
    <x:row r="66" ht="38" customHeight="1">
      <x:c r="A66" s="1" t="str">
        <x:v>Vault index</x:v>
      </x:c>
      <x:c r="B66" s="8" t="str">
        <x:v>/Users/mclein/Documents/Developer/Personal_Projects/AdvanCare/AdvanCare/AdvanCare Master MOC.md</x:v>
      </x:c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</x:row>
    <x:row r="67" ht="38" customHeight="1">
      <x:c r="A67" s="1" t="str">
        <x:v>Budget</x:v>
      </x:c>
      <x:c r="B67" s="8" t="str">
        <x:v>/Users/mclein/Downloads/AdvanCore-Expenses.xlsx</x:v>
      </x:c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1" hidden="0" customWidth="1"/>
    <x:col min="2" max="2" width="20" hidden="0" customWidth="1"/>
    <x:col min="3" max="3" width="32" hidden="0" customWidth="1"/>
    <x:col min="4" max="4" width="20" hidden="0" customWidth="1"/>
    <x:col min="6" max="6" width="33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</x:row>
    <x:row r="2">
      <x:c r="A2" s="2" t="str">
        <x:v>Expense workbook — source values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</x:row>
    <x:row r="3">
      <x:c r="A3" s="1" t="str">
        <x:v>Source: /Users/mclein/Downloads/AdvanCore-Expenses.xlsx, Sheet1, A1:D47. Values and labels preserved below.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</x:row>
    <x:row r="5">
      <x:c r="A5" s="4" t="str">
        <x:v>Year 1</x:v>
      </x:c>
      <x:c r="B5" s="4" t="str">
        <x:v>Year 1</x:v>
      </x:c>
      <x:c r="C5" s="4" t="str">
        <x:v>Year 2</x:v>
      </x:c>
      <x:c r="D5" s="4" t="str">
        <x:v>Year 2</x:v>
      </x:c>
      <x:c r="E5" s="1"/>
      <x:c r="F5" s="4" t="str">
        <x:v>Budget reconciliation (PHP)</x:v>
      </x:c>
      <x:c r="G5" s="4" t="str">
        <x:v>Year 1</x:v>
      </x:c>
      <x:c r="H5" s="4" t="str">
        <x:v>Year 2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</x:row>
    <x:row r="6">
      <x:c r="A6" s="1" t="str">
        <x:v>Personal Services</x:v>
      </x:c>
      <x:c r="B6" s="45"/>
      <x:c r="C6" s="1"/>
      <x:c r="D6" s="45"/>
      <x:c r="E6" s="1"/>
      <x:c r="F6" s="1" t="str">
        <x:v>Personnel</x:v>
      </x:c>
      <x:c r="G6" s="46" t="n">
        <x:f>B22</x:f>
        <x:v>2974560</x:v>
      </x:c>
      <x:c r="H6" s="46" t="n">
        <x:f>D22</x:f>
        <x:v>2734560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</x:row>
    <x:row r="7">
      <x:c r="A7" s="1" t="str">
        <x:v>Direct Cost</x:v>
      </x:c>
      <x:c r="B7" s="45"/>
      <x:c r="C7" s="1"/>
      <x:c r="D7" s="45"/>
      <x:c r="E7" s="1"/>
      <x:c r="F7" s="1" t="str">
        <x:v>CapEx + MOE</x:v>
      </x:c>
      <x:c r="G7" s="46" t="n">
        <x:f>B49</x:f>
        <x:v>11901664</x:v>
      </x:c>
      <x:c r="H7" s="46" t="n">
        <x:f>D49</x:f>
        <x:v>2845000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</x:row>
    <x:row r="8">
      <x:c r="A8" s="1" t="str">
        <x:v>Salaries</x:v>
      </x:c>
      <x:c r="B8" s="45"/>
      <x:c r="C8" s="1"/>
      <x:c r="D8" s="45"/>
      <x:c r="E8" s="1"/>
      <x:c r="F8" s="1" t="str">
        <x:v>Total per source</x:v>
      </x:c>
      <x:c r="G8" s="46" t="n">
        <x:f>B51</x:f>
        <x:v>14876224</x:v>
      </x:c>
      <x:c r="H8" s="46" t="n">
        <x:f>D51</x:f>
        <x:v>5579560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</x:row>
    <x:row r="9">
      <x:c r="A9" s="1" t="str">
        <x:v>          Five (5) Porject Laborer 1 @ Php 21,816 x 12 mos</x:v>
      </x:c>
      <x:c r="B9" s="45" t="n">
        <x:v>1308960</x:v>
      </x:c>
      <x:c r="C9" s="1"/>
      <x:c r="D9" s="45" t="n">
        <x:v>1308960</x:v>
      </x:c>
      <x:c r="E9" s="1"/>
      <x:c r="F9" s="1" t="str">
        <x:v>Total of detail lines</x:v>
      </x:c>
      <x:c r="G9" s="46" t="n">
        <x:f>SUM(B9:B13,B17,B20,B25:B37,B39:B48)</x:f>
        <x:v>14876224</x:v>
      </x:c>
      <x:c r="H9" s="46" t="n">
        <x:f>SUM(D9:D13,D17,D20,D25:D37,D39:D48)</x:f>
        <x:v>5579560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</x:row>
    <x:row r="10">
      <x:c r="A10" s="1" t="str">
        <x:v>Honoraria</x:v>
      </x:c>
      <x:c r="B10" s="45"/>
      <x:c r="C10" s="1"/>
      <x:c r="D10" s="45"/>
      <x:c r="E10" s="1"/>
      <x:c r="F10" s="1" t="str">
        <x:v>Difference</x:v>
      </x:c>
      <x:c r="G10" s="46" t="n">
        <x:f>G9-G8</x:f>
        <x:v>0</x:v>
      </x:c>
      <x:c r="H10" s="46" t="n">
        <x:f>H9-H8</x:f>
        <x:v>0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</x:row>
    <x:row r="11">
      <x:c r="A11" s="1" t="str">
        <x:v>          One (1) Project Leader @ Php 8,800 x 12 mos</x:v>
      </x:c>
      <x:c r="B11" s="45" t="n">
        <x:v>105600</x:v>
      </x:c>
      <x:c r="C11" s="1"/>
      <x:c r="D11" s="45" t="n">
        <x:v>105600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</x:row>
    <x:row r="12">
      <x:c r="A12" s="1" t="str">
        <x:v>          Six (6) Project Staff Level 3 @ Php 7,500 x 12 mos</x:v>
      </x:c>
      <x:c r="B12" s="45" t="n">
        <x:v>540000</x:v>
      </x:c>
      <x:c r="C12" s="1"/>
      <x:c r="D12" s="45" t="n">
        <x:v>540000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</x:row>
    <x:row r="13">
      <x:c r="A13" s="1" t="str">
        <x:v>          Six (6) Consulting Fee @ Php 10000 x 4</x:v>
      </x:c>
      <x:c r="B13" s="45" t="n">
        <x:v>240000</x:v>
      </x:c>
      <x:c r="C13" s="1"/>
      <x:c r="D13" s="45" t="n">
        <x:v>240000</x:v>
      </x:c>
      <x:c r="E13" s="1"/>
      <x:c r="F13" s="1" t="str">
        <x:v>No monthly cost allocation assumed.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</x:row>
    <x:row r="14">
      <x:c r="A14" s="1" t="str">
        <x:v>Indirect Cost</x:v>
      </x:c>
      <x:c r="B14" s="45"/>
      <x:c r="C14" s="1"/>
      <x:c r="D14" s="45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</x:row>
    <x:row r="15">
      <x:c r="A15" s="1" t="str">
        <x:v>(Implement Agency)</x:v>
      </x:c>
      <x:c r="B15" s="45"/>
      <x:c r="C15" s="1"/>
      <x:c r="D15" s="45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</x:row>
    <x:row r="16">
      <x:c r="A16" s="1" t="str">
        <x:v>Salaries</x:v>
      </x:c>
      <x:c r="B16" s="45"/>
      <x:c r="C16" s="1"/>
      <x:c r="D16" s="45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</x:row>
    <x:row r="17">
      <x:c r="A17" s="1" t="str">
        <x:v>          Sixteen (16) Enumerators and Digitizers (4 enums, 4 LGUs) @ Php 15000/mos</x:v>
      </x:c>
      <x:c r="B17" s="45" t="n">
        <x:v>240000</x:v>
      </x:c>
      <x:c r="C17" s="1"/>
      <x:c r="D17" s="45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</x:row>
    <x:row r="18">
      <x:c r="A18" s="1" t="str">
        <x:v>Honoraria</x:v>
      </x:c>
      <x:c r="B18" s="45"/>
      <x:c r="C18" s="1"/>
      <x:c r="D18" s="45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</x:row>
    <x:row r="19">
      <x:c r="A19" s="1" t="str">
        <x:v>(Monitoring Agency)</x:v>
      </x:c>
      <x:c r="B19" s="45"/>
      <x:c r="C19" s="1"/>
      <x:c r="D19" s="45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</x:row>
    <x:row r="20">
      <x:c r="A20" s="1" t="str">
        <x:v>Salaries                 Three (3) Project Staff Level 2 @ Php 15,000 x 12 mos</x:v>
      </x:c>
      <x:c r="B20" s="45" t="n">
        <x:v>540000</x:v>
      </x:c>
      <x:c r="C20" s="1"/>
      <x:c r="D20" s="45" t="n">
        <x:v>540000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</x:row>
    <x:row r="21">
      <x:c r="A21" s="1" t="str">
        <x:v>Honoraria</x:v>
      </x:c>
      <x:c r="B21" s="45"/>
      <x:c r="C21" s="1"/>
      <x:c r="D21" s="45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</x:row>
    <x:row r="22">
      <x:c r="A22" s="1" t="str">
        <x:v>                                               Sub-total for P S</x:v>
      </x:c>
      <x:c r="B22" s="45" t="n">
        <x:v>2974560</x:v>
      </x:c>
      <x:c r="C22" s="1"/>
      <x:c r="D22" s="45" t="n">
        <x:v>2734560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</x:row>
    <x:row r="23">
      <x:c r="A23" s="1"/>
      <x:c r="B23" s="45"/>
      <x:c r="C23" s="1"/>
      <x:c r="D23" s="45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</x:row>
    <x:row r="24">
      <x:c r="A24" s="1" t="str">
        <x:v>CapEx</x:v>
      </x:c>
      <x:c r="B24" s="45"/>
      <x:c r="C24" s="1"/>
      <x:c r="D24" s="45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</x:row>
    <x:row r="25">
      <x:c r="A25" s="1" t="str">
        <x:v>       two (2) MacBook M5 @ Php 110,000</x:v>
      </x:c>
      <x:c r="B25" s="45" t="n">
        <x:v>220000</x:v>
      </x:c>
      <x:c r="C25" s="1"/>
      <x:c r="D25" s="45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</x:row>
    <x:row r="26">
      <x:c r="A26" s="1" t="str">
        <x:v>       Two (2) Lenovo V15   @Php 78,332</x:v>
      </x:c>
      <x:c r="B26" s="45" t="n">
        <x:v>156664</x:v>
      </x:c>
      <x:c r="C26" s="1"/>
      <x:c r="D26" s="45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</x:row>
    <x:row r="27">
      <x:c r="A27" s="1" t="str">
        <x:v>       One (1)Epson WorkForce ES-50 Scanner @ Php 7,050</x:v>
      </x:c>
      <x:c r="B27" s="45" t="n">
        <x:v>7050</x:v>
      </x:c>
      <x:c r="C27" s="1"/>
      <x:c r="D27" s="45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</x:row>
    <x:row r="28">
      <x:c r="A28" s="1" t="str">
        <x:v>       Two (2) Epson Ecotank L5290 Printer @ Php 13,495</x:v>
      </x:c>
      <x:c r="B28" s="45" t="n">
        <x:v>26950</x:v>
      </x:c>
      <x:c r="C28" s="1"/>
      <x:c r="D28" s="45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</x:row>
    <x:row r="29">
      <x:c r="A29" s="1" t="str">
        <x:v>       Three (3)  UPS for Wifi Router (10400mAh) @ Php 7,000</x:v>
      </x:c>
      <x:c r="B29" s="45" t="n">
        <x:v>21000</x:v>
      </x:c>
      <x:c r="C29" s="1"/>
      <x:c r="D29" s="45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</x:row>
    <x:row r="30">
      <x:c r="A30" s="1" t="str">
        <x:v>       Twenty (25) Telehealth Suitcase @ Php 360,000</x:v>
      </x:c>
      <x:c r="B30" s="45" t="n">
        <x:v>9000000</x:v>
      </x:c>
      <x:c r="C30" s="1"/>
      <x:c r="D30" s="45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</x:row>
    <x:row r="31">
      <x:c r="A31" s="1" t="str">
        <x:v>       Ten (10) Starlink @ Php 56,000</x:v>
      </x:c>
      <x:c r="B31" s="45" t="n">
        <x:v>560000</x:v>
      </x:c>
      <x:c r="C31" s="1"/>
      <x:c r="D31" s="45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</x:row>
    <x:row r="32">
      <x:c r="A32" s="1" t="str">
        <x:v>       Four (4) Desktop @ Php 55,000</x:v>
      </x:c>
      <x:c r="B32" s="45" t="n">
        <x:v>220000</x:v>
      </x:c>
      <x:c r="C32" s="1"/>
      <x:c r="D32" s="45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</x:row>
    <x:row r="33">
      <x:c r="A33" s="1" t="str">
        <x:v>       Four (4) Headset @ Php 5,000</x:v>
      </x:c>
      <x:c r="B33" s="45" t="n">
        <x:v>20000</x:v>
      </x:c>
      <x:c r="C33" s="1"/>
      <x:c r="D33" s="45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</x:row>
    <x:row r="34">
      <x:c r="A34" s="1" t="str">
        <x:v>       Four (4) Monitor @ Php 6,000</x:v>
      </x:c>
      <x:c r="B34" s="45" t="n">
        <x:v>24000</x:v>
      </x:c>
      <x:c r="C34" s="1"/>
      <x:c r="D34" s="45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</x:row>
    <x:row r="35">
      <x:c r="A35" s="1" t="str">
        <x:v>       Four  (4) Keyboard @ 1,500</x:v>
      </x:c>
      <x:c r="B35" s="45" t="n">
        <x:v>6000</x:v>
      </x:c>
      <x:c r="C35" s="1"/>
      <x:c r="D35" s="45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</x:row>
    <x:row r="36">
      <x:c r="A36" s="1" t="str">
        <x:v>       Four (4) Mouse @ Php 1,000</x:v>
      </x:c>
      <x:c r="B36" s="45" t="n">
        <x:v>4000</x:v>
      </x:c>
      <x:c r="C36" s="1"/>
      <x:c r="D36" s="45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</x:row>
    <x:row r="37">
      <x:c r="A37" s="1" t="str">
        <x:v>       Four (4) Chair @ Php 6,500</x:v>
      </x:c>
      <x:c r="B37" s="45" t="n">
        <x:v>26000</x:v>
      </x:c>
      <x:c r="C37" s="1"/>
      <x:c r="D37" s="45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</x:row>
    <x:row r="38">
      <x:c r="A38" s="1" t="str">
        <x:v>MOE</x:v>
      </x:c>
      <x:c r="B38" s="45"/>
      <x:c r="C38" s="1"/>
      <x:c r="D38" s="45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</x:row>
    <x:row r="39">
      <x:c r="A39" s="1" t="str">
        <x:v>       Five (5) AI Subscription @ Php 6,500 x 12 mos</x:v>
      </x:c>
      <x:c r="B39" s="45" t="n">
        <x:v>390000</x:v>
      </x:c>
      <x:c r="C39" s="1"/>
      <x:c r="D39" s="45" t="n">
        <x:v>390000</x:v>
      </x:c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</x:row>
    <x:row r="40">
      <x:c r="A40" s="1" t="str">
        <x:v>       Four (4) Mobile Data @ Php 1000 x 12 mos</x:v>
      </x:c>
      <x:c r="B40" s="45" t="n">
        <x:v>48000</x:v>
      </x:c>
      <x:c r="C40" s="1"/>
      <x:c r="D40" s="45" t="n">
        <x:v>48000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</x:row>
    <x:row r="41">
      <x:c r="A41" s="1" t="str">
        <x:v>       Website Domain (1 year) </x:v>
      </x:c>
      <x:c r="B41" s="45" t="n">
        <x:v>30000</x:v>
      </x:c>
      <x:c r="C41" s="1"/>
      <x:c r="D41" s="45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</x:row>
    <x:row r="42">
      <x:c r="A42" s="1" t="str">
        <x:v>       Ink, Bondapaper (12 mons)</x:v>
      </x:c>
      <x:c r="B42" s="45" t="n">
        <x:v>25000</x:v>
      </x:c>
      <x:c r="C42" s="1"/>
      <x:c r="D42" s="45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</x:row>
    <x:row r="43">
      <x:c r="A43" s="1" t="str">
        <x:v>       Cloud Hosting for Database (1 year, Stage 1: Production Scale) </x:v>
      </x:c>
      <x:c r="B43" s="45" t="n">
        <x:v>500000</x:v>
      </x:c>
      <x:c r="C43" s="1" t="str">
        <x:v>Stage 2: High Volume Scale</x:v>
      </x:c>
      <x:c r="D43" s="45" t="n">
        <x:v>1500000</x:v>
      </x:c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</x:row>
    <x:row r="44">
      <x:c r="A44" s="1" t="str">
        <x:v>       Apple Developer Fee</x:v>
      </x:c>
      <x:c r="B44" s="45" t="n">
        <x:v>7000</x:v>
      </x:c>
      <x:c r="C44" s="1"/>
      <x:c r="D44" s="45" t="n">
        <x:v>7000</x:v>
      </x:c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</x:row>
    <x:row r="45">
      <x:c r="A45" s="1" t="str">
        <x:v>       SPSS: Statistical Tool Software (2 years)</x:v>
      </x:c>
      <x:c r="B45" s="45" t="n">
        <x:v>10000</x:v>
      </x:c>
      <x:c r="C45" s="1"/>
      <x:c r="D45" s="45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</x:row>
    <x:row r="46">
      <x:c r="A46" s="1" t="str">
        <x:v>       Traning Expenses</x:v>
      </x:c>
      <x:c r="B46" s="45" t="n">
        <x:v>200000</x:v>
      </x:c>
      <x:c r="C46" s="1"/>
      <x:c r="D46" s="45" t="n">
        <x:v>300000</x:v>
      </x:c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</x:row>
    <x:row r="47">
      <x:c r="A47" s="1" t="str">
        <x:v>       Transport Expenses</x:v>
      </x:c>
      <x:c r="B47" s="45" t="n">
        <x:v>200000</x:v>
      </x:c>
      <x:c r="C47" s="1"/>
      <x:c r="D47" s="45" t="n">
        <x:v>300000</x:v>
      </x:c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</x:row>
    <x:row r="48">
      <x:c r="A48" s="1" t="str">
        <x:v>       Food</x:v>
      </x:c>
      <x:c r="B48" s="45" t="n">
        <x:v>200000</x:v>
      </x:c>
      <x:c r="C48" s="1"/>
      <x:c r="D48" s="45" t="n">
        <x:v>300000</x:v>
      </x:c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</x:row>
    <x:row r="49">
      <x:c r="A49" s="1" t="str">
        <x:v>  Sub-total for P S</x:v>
      </x:c>
      <x:c r="B49" s="45" t="n">
        <x:v>11901664</x:v>
      </x:c>
      <x:c r="C49" s="1"/>
      <x:c r="D49" s="45" t="n">
        <x:v>2845000</x:v>
      </x:c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</x:row>
    <x:row r="50">
      <x:c r="A50" s="1"/>
      <x:c r="B50" s="45"/>
      <x:c r="C50" s="1"/>
      <x:c r="D50" s="45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</x:row>
    <x:row r="51">
      <x:c r="A51" s="1" t="str">
        <x:v>Total</x:v>
      </x:c>
      <x:c r="B51" s="45" t="n">
        <x:v>14876224</x:v>
      </x:c>
      <x:c r="C51" s="1"/>
      <x:c r="D51" s="45" t="n">
        <x:v>5579560</x:v>
      </x:c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</x:row>
  </x:sheetData>
  <x:pageMargins left="0.7" right="0.7" top="0.75" bottom="0.75" header="0.3" footer="0.3"/>
</x:worksheet>
</file>